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a.Patil\Desktop\"/>
    </mc:Choice>
  </mc:AlternateContent>
  <bookViews>
    <workbookView xWindow="120" yWindow="45" windowWidth="15240" windowHeight="8100" tabRatio="756"/>
  </bookViews>
  <sheets>
    <sheet name="1.PMO_BD" sheetId="9" r:id="rId1"/>
    <sheet name="2.GL-INIT" sheetId="10" state="hidden" r:id="rId2"/>
    <sheet name="3.PIF" sheetId="11" state="hidden" r:id="rId3"/>
    <sheet name="4.Project Summary Template" sheetId="12" r:id="rId4"/>
    <sheet name="5.MSP Tracker" sheetId="26" state="hidden" r:id="rId5"/>
    <sheet name="6.IPD" sheetId="16" state="hidden" r:id="rId6"/>
    <sheet name="7.Go-No-Go" sheetId="25" state="hidden" r:id="rId7"/>
  </sheets>
  <externalReferences>
    <externalReference r:id="rId8"/>
  </externalReferences>
  <definedNames>
    <definedName name="_xlnm._FilterDatabase" localSheetId="1" hidden="1">'2.GL-INIT'!$A$1:$C$17</definedName>
    <definedName name="_xlnm.Print_Area" localSheetId="2">'3.PIF'!$B$1:$K$29</definedName>
  </definedNames>
  <calcPr calcId="162913"/>
</workbook>
</file>

<file path=xl/calcChain.xml><?xml version="1.0" encoding="utf-8"?>
<calcChain xmlns="http://schemas.openxmlformats.org/spreadsheetml/2006/main">
  <c r="F10" i="12" l="1"/>
  <c r="E42" i="12"/>
  <c r="E36" i="12"/>
  <c r="D37" i="12"/>
  <c r="E37" i="12" s="1"/>
  <c r="D38" i="12"/>
  <c r="E38" i="12" s="1"/>
  <c r="D39" i="12"/>
  <c r="E39" i="12" s="1"/>
  <c r="D40" i="12"/>
  <c r="E40" i="12" s="1"/>
  <c r="D41" i="12"/>
  <c r="E41" i="12" s="1"/>
  <c r="D42" i="12"/>
  <c r="D36" i="12"/>
  <c r="B16" i="12"/>
  <c r="B52" i="12" l="1"/>
  <c r="C18" i="12" l="1"/>
  <c r="D18" i="12"/>
  <c r="E18" i="12"/>
  <c r="F18" i="12"/>
  <c r="B18" i="12"/>
  <c r="B25" i="12" l="1"/>
  <c r="E43" i="12" l="1"/>
  <c r="D43" i="12"/>
  <c r="B53" i="12" l="1"/>
  <c r="B51" i="12" l="1"/>
  <c r="B50" i="12"/>
  <c r="B49" i="12"/>
  <c r="B47" i="12"/>
  <c r="B46" i="12" l="1"/>
  <c r="B48" i="12" l="1"/>
  <c r="B54" i="12" s="1"/>
  <c r="C32" i="25"/>
  <c r="L4" i="25"/>
  <c r="E5" i="25"/>
  <c r="E4" i="25"/>
  <c r="B2" i="16" l="1"/>
  <c r="B1" i="16"/>
</calcChain>
</file>

<file path=xl/sharedStrings.xml><?xml version="1.0" encoding="utf-8"?>
<sst xmlns="http://schemas.openxmlformats.org/spreadsheetml/2006/main" count="405" uniqueCount="314">
  <si>
    <t>ARD</t>
  </si>
  <si>
    <t>AMV</t>
  </si>
  <si>
    <t>Stability</t>
  </si>
  <si>
    <t>Group Leader</t>
  </si>
  <si>
    <t>To be filled by PMO before forwarding to Group Leaders</t>
  </si>
  <si>
    <t>General</t>
  </si>
  <si>
    <t>Project Name</t>
  </si>
  <si>
    <t>Please follow a standard format-" Molecule_Market"</t>
  </si>
  <si>
    <t>Market</t>
  </si>
  <si>
    <t>Project Initiation Date</t>
  </si>
  <si>
    <t>Sponsor/Business Partner</t>
  </si>
  <si>
    <t>Input latest sales data of drug product from IMS</t>
  </si>
  <si>
    <t>Input total API consumption from IMS</t>
  </si>
  <si>
    <t>API Group Leader</t>
  </si>
  <si>
    <t>Project Complexity</t>
  </si>
  <si>
    <t xml:space="preserve">Date for submission of Project budget and timeline summary </t>
  </si>
  <si>
    <t>Please note that budget for projects are limited during feasibility period</t>
  </si>
  <si>
    <t xml:space="preserve">API Project Initiation Form/Code Creation </t>
  </si>
  <si>
    <t>Project name</t>
  </si>
  <si>
    <t xml:space="preserve">Project start date </t>
  </si>
  <si>
    <t>Project SAP Code</t>
  </si>
  <si>
    <t>Administrative section</t>
  </si>
  <si>
    <t>Commercial section</t>
  </si>
  <si>
    <t xml:space="preserve">Sponsor/Business Partner </t>
  </si>
  <si>
    <t xml:space="preserve">Market size (USD Mn) </t>
  </si>
  <si>
    <t xml:space="preserve">Group Leader </t>
  </si>
  <si>
    <t>Complexity</t>
  </si>
  <si>
    <t>Project Section</t>
  </si>
  <si>
    <t>Business Rationale</t>
  </si>
  <si>
    <t>Target date for completing milestone planning and filling up project summary template*</t>
  </si>
  <si>
    <t xml:space="preserve">This form needs to be filled within two days of project allocation to R&amp;D </t>
  </si>
  <si>
    <t>Note</t>
  </si>
  <si>
    <t>(Dr.Mukund Gurjar)</t>
  </si>
  <si>
    <t>CSO</t>
  </si>
  <si>
    <t>API Market Price ($ Per KG)</t>
  </si>
  <si>
    <t>Target Cost($ Per KG)</t>
  </si>
  <si>
    <t>Manhour Estimates</t>
  </si>
  <si>
    <t>Total</t>
  </si>
  <si>
    <t>Optimization</t>
  </si>
  <si>
    <t>Validation</t>
  </si>
  <si>
    <t>Development</t>
  </si>
  <si>
    <t>Ex- Input Emcure if product to be commercialised inhouse</t>
  </si>
  <si>
    <t>Capex</t>
  </si>
  <si>
    <t>Scale-up</t>
  </si>
  <si>
    <t>Number of Competitors</t>
  </si>
  <si>
    <t>Ex-Input number of approved DMF sources for US market</t>
  </si>
  <si>
    <t>To be filled by API Group Leader before project initiation</t>
  </si>
  <si>
    <t>Manhour rate</t>
  </si>
  <si>
    <t>No of Columns</t>
  </si>
  <si>
    <t>Cost per Column</t>
  </si>
  <si>
    <t>Finance Rates</t>
  </si>
  <si>
    <t>Market:</t>
  </si>
  <si>
    <t>Generic Status:</t>
  </si>
  <si>
    <t>Y/N</t>
  </si>
  <si>
    <t>Type of Filing:</t>
  </si>
  <si>
    <t>Ex: PIV/PIII/PII/PIV(NI)/F2F</t>
  </si>
  <si>
    <t>Earliest Market Entry Date:</t>
  </si>
  <si>
    <t>Legal Status(Litigation):</t>
  </si>
  <si>
    <t>Cost of Litigation</t>
  </si>
  <si>
    <t>IPD Comments:</t>
  </si>
  <si>
    <t>*Patents No.</t>
  </si>
  <si>
    <t>Original  Expiry Date
(dd-mmm-yy)</t>
  </si>
  <si>
    <t>Type 
(Subs, Form, MOA, MOT Etc)</t>
  </si>
  <si>
    <t>Extn Applcation (Y/N)</t>
  </si>
  <si>
    <t>Expiry Date on Extn</t>
  </si>
  <si>
    <t>Comments
(Patent Specific)</t>
  </si>
  <si>
    <t>Strategy</t>
  </si>
  <si>
    <t>*Please include new patents under consideration</t>
  </si>
  <si>
    <t>Insert rows if required</t>
  </si>
  <si>
    <t>Exclusivity Type</t>
  </si>
  <si>
    <t>Expiry</t>
  </si>
  <si>
    <t>Project Management</t>
  </si>
  <si>
    <t>[*]- Final allocation of budget will be made on approval of Project Charter Summary</t>
  </si>
  <si>
    <t>Formulation Details</t>
  </si>
  <si>
    <t>Product Type</t>
  </si>
  <si>
    <t>Exhibit</t>
  </si>
  <si>
    <t>Stage</t>
  </si>
  <si>
    <t>To be discuused with Formulations Group leader to arrive at Api quantities below</t>
  </si>
  <si>
    <t>R&amp;D Division</t>
  </si>
  <si>
    <t>Cost of Columns/Standards Etc</t>
  </si>
  <si>
    <t>Budget for Feasibility</t>
  </si>
  <si>
    <t>Raw Material Cost(INR)</t>
  </si>
  <si>
    <t>Initial Scope and Objectives</t>
  </si>
  <si>
    <t>Head-Wise Budget (in Lacs)</t>
  </si>
  <si>
    <t>Project Closure Form</t>
  </si>
  <si>
    <t>Commercial</t>
  </si>
  <si>
    <t>Technical</t>
  </si>
  <si>
    <t># This form is to be filled in the event project is discontinued after feasibility phase</t>
  </si>
  <si>
    <t>Departmental Head</t>
  </si>
  <si>
    <t>Analytical Departments</t>
  </si>
  <si>
    <t>Chemicals/ Reagents</t>
  </si>
  <si>
    <t>AMT</t>
  </si>
  <si>
    <t>Impurity</t>
  </si>
  <si>
    <t>PRD Department</t>
  </si>
  <si>
    <t>Scale Up</t>
  </si>
  <si>
    <t>Formulation Quantity Required in kg/gm</t>
  </si>
  <si>
    <t>Hours</t>
  </si>
  <si>
    <t>Analytical Development Departments</t>
  </si>
  <si>
    <t>Analytical Validation Department</t>
  </si>
  <si>
    <t>Analytical Meathod Transfer Department</t>
  </si>
  <si>
    <t>Impurity Department</t>
  </si>
  <si>
    <t>No Of Employees</t>
  </si>
  <si>
    <t>Technology Transfer Department</t>
  </si>
  <si>
    <t>Remark</t>
  </si>
  <si>
    <t>Months</t>
  </si>
  <si>
    <t>Project End Date</t>
  </si>
  <si>
    <t>Total Cost of Coloumn</t>
  </si>
  <si>
    <t>Total Cost Of Analytical Rawmaterial</t>
  </si>
  <si>
    <t>Total Cost Of Rawmaterial</t>
  </si>
  <si>
    <t>Capital and Other Expenditure</t>
  </si>
  <si>
    <t xml:space="preserve"> Project Charter Summary Template</t>
  </si>
  <si>
    <t>Emcure Annual API requirement</t>
  </si>
  <si>
    <t>No. of approved DMFs:</t>
  </si>
  <si>
    <t>No. of DMFs applcations pending approval:</t>
  </si>
  <si>
    <t>No Of Strength</t>
  </si>
  <si>
    <t>Rupee (In Lac)</t>
  </si>
  <si>
    <t>Other expenses/Utility Cost</t>
  </si>
  <si>
    <t>Cost</t>
  </si>
  <si>
    <t>Total Cost Of Man Hours</t>
  </si>
  <si>
    <t>Other Expenses/ Utility Cost</t>
  </si>
  <si>
    <t>Feasibility Budget</t>
  </si>
  <si>
    <t>DMF Filing Cost</t>
  </si>
  <si>
    <t>S.N.</t>
  </si>
  <si>
    <t>Activity</t>
  </si>
  <si>
    <t>Responsibility</t>
  </si>
  <si>
    <t>Dependencies (Predecessor)</t>
  </si>
  <si>
    <t>Dependencies (Successor)</t>
  </si>
  <si>
    <t xml:space="preserve">Duration in days </t>
  </si>
  <si>
    <t>Start Date</t>
  </si>
  <si>
    <t>End Date</t>
  </si>
  <si>
    <t xml:space="preserve">   Project Initiation</t>
  </si>
  <si>
    <t xml:space="preserve">      Kick off</t>
  </si>
  <si>
    <t>PM</t>
  </si>
  <si>
    <t xml:space="preserve"> -</t>
  </si>
  <si>
    <t xml:space="preserve">      Literature Search update, IPD clearance</t>
  </si>
  <si>
    <t>R&amp;D, IPD</t>
  </si>
  <si>
    <t xml:space="preserve">      PIF, BD code and eProject maping</t>
  </si>
  <si>
    <t>PM, Finance</t>
  </si>
  <si>
    <t xml:space="preserve">      RM Quotation  Columns &amp; Std procurement, RM procurement</t>
  </si>
  <si>
    <t>R&amp;D, ARD, Purchase</t>
  </si>
  <si>
    <t xml:space="preserve">      Acquire test license/  Generate project/product code</t>
  </si>
  <si>
    <t>RA, QA</t>
  </si>
  <si>
    <t xml:space="preserve">      IPD statement on Route/Polymorph</t>
  </si>
  <si>
    <t>IPD</t>
  </si>
  <si>
    <t xml:space="preserve">   Process &amp; Analytical Feasibility</t>
  </si>
  <si>
    <t xml:space="preserve">      Experiments for feasibility</t>
  </si>
  <si>
    <t>R&amp;D</t>
  </si>
  <si>
    <t xml:space="preserve">      RM, IM &amp; API sample Submition to ARD</t>
  </si>
  <si>
    <t xml:space="preserve">      Tentative Analytical development for IM &amp; IP</t>
  </si>
  <si>
    <t xml:space="preserve">      MFH for NI, Cost, DMF Filing &amp; Safety</t>
  </si>
  <si>
    <t>PM, R&amp;D, ARD, RA</t>
  </si>
  <si>
    <t xml:space="preserve">   Process &amp; Analytical Optimization</t>
  </si>
  <si>
    <t xml:space="preserve">      RM Draft spec preparation</t>
  </si>
  <si>
    <t xml:space="preserve">         Procurement of RM impurities &amp; column</t>
  </si>
  <si>
    <t xml:space="preserve">         RM method development if not suitable,   RM Draft spec compliance from vendor</t>
  </si>
  <si>
    <t>purchase</t>
  </si>
  <si>
    <t xml:space="preserve">      API Draft spec preparation</t>
  </si>
  <si>
    <t xml:space="preserve">         Impurities synthesis &amp; submition to Imp-lab</t>
  </si>
  <si>
    <t>imp</t>
  </si>
  <si>
    <t xml:space="preserve">         Impurity Characterization </t>
  </si>
  <si>
    <t xml:space="preserve">         Impurity submission with COA to ARD</t>
  </si>
  <si>
    <t>Analytical Method optimization for API Draft Spec &amp; MOA preparation</t>
  </si>
  <si>
    <t xml:space="preserve">         API Indicative stability initiation</t>
  </si>
  <si>
    <t xml:space="preserve">R&amp;D STABILITY </t>
  </si>
  <si>
    <t xml:space="preserve">      Process optimization</t>
  </si>
  <si>
    <t xml:space="preserve">         Experiments for optimization</t>
  </si>
  <si>
    <t xml:space="preserve">         RMix, IM samples Submition to ARD</t>
  </si>
  <si>
    <t>R&amp;D ARD</t>
  </si>
  <si>
    <t xml:space="preserve">         Analytical Method optimization for IP &amp; IM</t>
  </si>
  <si>
    <t xml:space="preserve">         IP &amp; IM Draft spec preparation</t>
  </si>
  <si>
    <t xml:space="preserve">   Process and Spec Approval</t>
  </si>
  <si>
    <t xml:space="preserve">      Trend Batches execution</t>
  </si>
  <si>
    <t xml:space="preserve">         Stage-1,2,3 preparation</t>
  </si>
  <si>
    <t xml:space="preserve">      Draft process with TI-sheets to QA</t>
  </si>
  <si>
    <t>R&amp;D QA</t>
  </si>
  <si>
    <t xml:space="preserve">      Draft spec of RM, IP, IM &amp; API to QA</t>
  </si>
  <si>
    <t>ARD QA</t>
  </si>
  <si>
    <t xml:space="preserve">      QA approval of Process, Spec &amp; AVL</t>
  </si>
  <si>
    <t xml:space="preserve">         QA approval for Process, RM, IP &amp; IM Spec</t>
  </si>
  <si>
    <t>QA</t>
  </si>
  <si>
    <t xml:space="preserve">         QA approval for API spec</t>
  </si>
  <si>
    <t>AVL compilation CCF initiation</t>
  </si>
  <si>
    <t>PURCHASE QA</t>
  </si>
  <si>
    <t>Vendor Audit (if Rerquired), compliance</t>
  </si>
  <si>
    <t>Compliance cell Purchase</t>
  </si>
  <si>
    <t>CCF approval , AVL Approval, communicated to plant</t>
  </si>
  <si>
    <t>plant QA R&amp;D QA</t>
  </si>
  <si>
    <t xml:space="preserve">      Stability</t>
  </si>
  <si>
    <t xml:space="preserve">         Intermediate / API stability initiaton</t>
  </si>
  <si>
    <t>stability dept</t>
  </si>
  <si>
    <t xml:space="preserve">   WRS qualification</t>
  </si>
  <si>
    <t xml:space="preserve">      Submition of all std with COA</t>
  </si>
  <si>
    <t>ARD AMV  QA</t>
  </si>
  <si>
    <t xml:space="preserve">      WRS qualification and submission to plant</t>
  </si>
  <si>
    <t xml:space="preserve">   CMV</t>
  </si>
  <si>
    <t xml:space="preserve">      Equip. cleaning process &amp; Spec QA approval</t>
  </si>
  <si>
    <t xml:space="preserve">      CMV protocol preparation and QA approval.</t>
  </si>
  <si>
    <t>PLANT QA</t>
  </si>
  <si>
    <t xml:space="preserve">      C M Validation</t>
  </si>
  <si>
    <t xml:space="preserve">   Scale-up</t>
  </si>
  <si>
    <t xml:space="preserve">      CFT</t>
  </si>
  <si>
    <t>TT</t>
  </si>
  <si>
    <t xml:space="preserve">      RM procurement for scale-up</t>
  </si>
  <si>
    <t>TT PURCHASE</t>
  </si>
  <si>
    <t xml:space="preserve">      RM analysis</t>
  </si>
  <si>
    <t xml:space="preserve">ARD </t>
  </si>
  <si>
    <t xml:space="preserve">      Preparation and approval  of scale-up BMR &amp; protocol</t>
  </si>
  <si>
    <t>TT QA</t>
  </si>
  <si>
    <t xml:space="preserve">      Preparation &amp; approval of ECR</t>
  </si>
  <si>
    <t>Execution of scale up batch, Complete analysis, BMR review &amp; stability initiation</t>
  </si>
  <si>
    <t>TT PLANT</t>
  </si>
  <si>
    <t xml:space="preserve">      Scale-up report by TT</t>
  </si>
  <si>
    <t xml:space="preserve">   TTP, LDR preparation &amp; CFT</t>
  </si>
  <si>
    <t xml:space="preserve">      TTP preparation</t>
  </si>
  <si>
    <t xml:space="preserve">      LDR preparation</t>
  </si>
  <si>
    <t xml:space="preserve">      LDR review by QA</t>
  </si>
  <si>
    <t xml:space="preserve">      TTP QA approval &amp; submition to plant</t>
  </si>
  <si>
    <t xml:space="preserve">      CFT for Validation</t>
  </si>
  <si>
    <t xml:space="preserve">   AMV &amp; AMT</t>
  </si>
  <si>
    <t xml:space="preserve">      Prepation of Validation protocol for IM, SM, DS</t>
  </si>
  <si>
    <t xml:space="preserve">      Protocol review and approval </t>
  </si>
  <si>
    <t>AMV QA</t>
  </si>
  <si>
    <t xml:space="preserve">      Execution of validation activity.</t>
  </si>
  <si>
    <t xml:space="preserve">      AMV data review, report preparation and submission for approval </t>
  </si>
  <si>
    <t xml:space="preserve">      AMV report review and approval by QA </t>
  </si>
  <si>
    <t xml:space="preserve">      Revision in specs and MoA</t>
  </si>
  <si>
    <t xml:space="preserve">      AMT protocol preparation and approval</t>
  </si>
  <si>
    <t>AMV QA PLANT QA - QC</t>
  </si>
  <si>
    <t xml:space="preserve">      Protocol execution at both transferring and receiving laboratories</t>
  </si>
  <si>
    <t xml:space="preserve">      AMT report by plant QC</t>
  </si>
  <si>
    <t xml:space="preserve">      specs from spec cell  to plant</t>
  </si>
  <si>
    <t>ARD QA  SPEC CELL</t>
  </si>
  <si>
    <t xml:space="preserve">   Validation</t>
  </si>
  <si>
    <t xml:space="preserve">      RM procurement for vaildation batches</t>
  </si>
  <si>
    <t xml:space="preserve">      Creation of item codes (Intermediate, packing material and miscellaneous)</t>
  </si>
  <si>
    <t xml:space="preserve">      Preparation and approval of validation BMR </t>
  </si>
  <si>
    <t xml:space="preserve">      Creation of BOM</t>
  </si>
  <si>
    <t xml:space="preserve">      Preparation and approval of ECR</t>
  </si>
  <si>
    <t>QA PLANT</t>
  </si>
  <si>
    <t xml:space="preserve">      Preparation of specs and approval</t>
  </si>
  <si>
    <t>PLANT QC QA</t>
  </si>
  <si>
    <t xml:space="preserve">      RM PM analysis</t>
  </si>
  <si>
    <t>PLANT QC</t>
  </si>
  <si>
    <t xml:space="preserve">      Executiion of 3 validation batches</t>
  </si>
  <si>
    <t xml:space="preserve">PLANT QA </t>
  </si>
  <si>
    <t xml:space="preserve">      Analysis and release of Validation batches (micro if reqd.)</t>
  </si>
  <si>
    <t>QC QA</t>
  </si>
  <si>
    <t xml:space="preserve">      Final NI analyisis</t>
  </si>
  <si>
    <t>R&amp;D IPD</t>
  </si>
  <si>
    <t xml:space="preserve">      Validation report preparation and approval</t>
  </si>
  <si>
    <t xml:space="preserve">      Dispatch to ANDA holder</t>
  </si>
  <si>
    <t xml:space="preserve">PLANT </t>
  </si>
  <si>
    <t xml:space="preserve">   Stability</t>
  </si>
  <si>
    <t xml:space="preserve">      Stability study protocol preparation</t>
  </si>
  <si>
    <t xml:space="preserve">      Stability study protocol approval</t>
  </si>
  <si>
    <t xml:space="preserve">      Stability sample packing </t>
  </si>
  <si>
    <t xml:space="preserve">      Validation batch sample charged for stability </t>
  </si>
  <si>
    <t xml:space="preserve">      3 month stability study, data review and approval</t>
  </si>
  <si>
    <t xml:space="preserve">   DMF filing</t>
  </si>
  <si>
    <t xml:space="preserve">      Documents from R&amp;D QA and plant QA</t>
  </si>
  <si>
    <t>R&amp;D QA PLANT QA</t>
  </si>
  <si>
    <t xml:space="preserve">       Check for adequacy of documents and information</t>
  </si>
  <si>
    <t>RA</t>
  </si>
  <si>
    <t xml:space="preserve">       Compilation of dossier in CTD format</t>
  </si>
  <si>
    <t xml:space="preserve">      DMF filing</t>
  </si>
  <si>
    <t>Bio Cost</t>
  </si>
  <si>
    <t>Cost of Analytical (INR)</t>
  </si>
  <si>
    <t>PRD Man Hours</t>
  </si>
  <si>
    <t>ARD Man Hours</t>
  </si>
  <si>
    <t>Manhours Rate</t>
  </si>
  <si>
    <t>Total Manhour</t>
  </si>
  <si>
    <t>Total Cost of Manhours</t>
  </si>
  <si>
    <t>Total Cost of Feasibility</t>
  </si>
  <si>
    <t>Cost of Raw Material</t>
  </si>
  <si>
    <t>On a scale of 1 to 5 with 1 being least complex</t>
  </si>
  <si>
    <t>Amount</t>
  </si>
  <si>
    <t>Total Cost Of Raw material</t>
  </si>
  <si>
    <t>No of Players</t>
  </si>
  <si>
    <t>Dr M K Gurjar</t>
  </si>
  <si>
    <t>Dr Abhijit Roychowdhury</t>
  </si>
  <si>
    <t>DMF / CEP Filing Cost</t>
  </si>
  <si>
    <t>Cost of Impurities/RLD/Standard/Silica</t>
  </si>
  <si>
    <t>Stability Department</t>
  </si>
  <si>
    <t>Litigation cost /Patent Registration Cost/ Toxicity study</t>
  </si>
  <si>
    <t>Director - API R&amp;D</t>
  </si>
  <si>
    <t>Dr Gorakh Yellol</t>
  </si>
  <si>
    <t>Dr Parag Gatane</t>
  </si>
  <si>
    <t>Dr Parag Gatne</t>
  </si>
  <si>
    <t>GM-PM</t>
  </si>
  <si>
    <t>Toxicity Study</t>
  </si>
  <si>
    <t>Litigation/ Patent Cost</t>
  </si>
  <si>
    <t>Ex-US/EU/UK/CAN/ROW/IND- In case of multiple markets please specify</t>
  </si>
  <si>
    <t>Market  Details</t>
  </si>
  <si>
    <t xml:space="preserve">Sales (USD Mn) </t>
  </si>
  <si>
    <t>Annual Volume Kg(20% of market Share)</t>
  </si>
  <si>
    <t xml:space="preserve"> </t>
  </si>
  <si>
    <t>solid oral /Injection -- Dropdown</t>
  </si>
  <si>
    <t xml:space="preserve">IP Status </t>
  </si>
  <si>
    <t>Intellaecteual Property Information</t>
  </si>
  <si>
    <t>Patent Tab tobe  provided nby ambike</t>
  </si>
  <si>
    <t>text box</t>
  </si>
  <si>
    <t>calender date</t>
  </si>
  <si>
    <t>dropdown</t>
  </si>
  <si>
    <t>1,2,3,4,5</t>
  </si>
  <si>
    <t>Raw Material Cost</t>
  </si>
  <si>
    <t>Total  API Project Cost</t>
  </si>
  <si>
    <t>API R&amp;D</t>
  </si>
  <si>
    <t>Project management</t>
  </si>
  <si>
    <t xml:space="preserve"> Mr.Sanjay Mehta</t>
  </si>
  <si>
    <t>President Commercial</t>
  </si>
  <si>
    <t>Feasibility study</t>
  </si>
  <si>
    <t>Scale/up</t>
  </si>
  <si>
    <t>Filing</t>
  </si>
  <si>
    <t>Time Lines I 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</si>
</sst>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 * #,##0_ ;_ * \-#,##0_ ;_ * &quot;-&quot;_ ;_ @_ 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[$$-409]* #,##0_ ;_-[$$-409]* \-#,##0\ ;_-[$$-409]* &quot;-&quot;??_ ;_-@_ "/>
    <numFmt numFmtId="169" formatCode="_ [$Rs.-4009]\ * #,##0_ ;_ [$Rs.-4009]\ * \-#,##0_ ;_ [$Rs.-4009]\ * &quot;-&quot;??_ ;_ @_ "/>
    <numFmt numFmtId="170" formatCode="&quot;$&quot;#,##0.0000_);\(&quot;$&quot;#,##0.0000\)"/>
    <numFmt numFmtId="171" formatCode="0.00\ &quot;kg&quot;"/>
    <numFmt numFmtId="173" formatCode="0.0\ &quot;kg&quot;"/>
    <numFmt numFmtId="174" formatCode="[$Rs.-4009]\ #,##0.00"/>
    <numFmt numFmtId="175" formatCode="[$Rs.-4009]\ #,##0"/>
  </numFmts>
  <fonts count="46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2"/>
      <color indexed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name val="Tms Rmn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7"/>
      <name val="Small Fonts"/>
      <family val="2"/>
    </font>
    <font>
      <sz val="11"/>
      <color indexed="8"/>
      <name val="Calibri"/>
      <family val="2"/>
    </font>
    <font>
      <sz val="10"/>
      <name val="Helv"/>
      <charset val="204"/>
    </font>
    <font>
      <u/>
      <sz val="11"/>
      <color indexed="12"/>
      <name val="Calibri"/>
      <family val="2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9"/>
      <color theme="1"/>
      <name val="Arial"/>
      <family val="2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3333CC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rgb="FF000000"/>
      <name val="Arial"/>
      <family val="2"/>
    </font>
    <font>
      <sz val="9"/>
      <color theme="1" tint="0.14999847407452621"/>
      <name val="Calibri"/>
      <family val="2"/>
      <scheme val="minor"/>
    </font>
    <font>
      <sz val="9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10"/>
      <color indexed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987">
    <xf numFmtId="0" fontId="0" fillId="0" borderId="0"/>
    <xf numFmtId="0" fontId="9" fillId="0" borderId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8" fillId="0" borderId="0"/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25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 applyNumberForma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21" fillId="0" borderId="2" applyNumberFormat="0" applyAlignment="0" applyProtection="0">
      <alignment horizontal="left" vertical="center"/>
    </xf>
    <xf numFmtId="0" fontId="21" fillId="0" borderId="39">
      <alignment horizontal="left" vertical="center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37" fontId="23" fillId="0" borderId="0"/>
    <xf numFmtId="170" fontId="8" fillId="0" borderId="0"/>
    <xf numFmtId="0" fontId="8" fillId="0" borderId="0"/>
    <xf numFmtId="0" fontId="8" fillId="0" borderId="0">
      <alignment vertical="top"/>
    </xf>
    <xf numFmtId="0" fontId="24" fillId="0" borderId="0"/>
    <xf numFmtId="0" fontId="8" fillId="0" borderId="0"/>
    <xf numFmtId="0" fontId="8" fillId="0" borderId="0">
      <alignment vertical="top"/>
    </xf>
    <xf numFmtId="0" fontId="8" fillId="0" borderId="0"/>
    <xf numFmtId="0" fontId="24" fillId="0" borderId="0"/>
    <xf numFmtId="0" fontId="24" fillId="0" borderId="0"/>
    <xf numFmtId="0" fontId="4" fillId="0" borderId="0"/>
    <xf numFmtId="0" fontId="24" fillId="0" borderId="0"/>
    <xf numFmtId="0" fontId="4" fillId="0" borderId="0"/>
    <xf numFmtId="0" fontId="24" fillId="0" borderId="0"/>
    <xf numFmtId="0" fontId="8" fillId="0" borderId="0"/>
    <xf numFmtId="0" fontId="8" fillId="0" borderId="0"/>
    <xf numFmtId="0" fontId="24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5" fillId="0" borderId="0"/>
  </cellStyleXfs>
  <cellXfs count="384">
    <xf numFmtId="0" fontId="0" fillId="0" borderId="0" xfId="0"/>
    <xf numFmtId="0" fontId="17" fillId="2" borderId="32" xfId="0" applyFont="1" applyFill="1" applyBorder="1" applyAlignment="1" applyProtection="1">
      <alignment vertical="center" wrapText="1"/>
    </xf>
    <xf numFmtId="0" fontId="0" fillId="9" borderId="0" xfId="0" applyFill="1"/>
    <xf numFmtId="0" fontId="18" fillId="9" borderId="0" xfId="0" applyFont="1" applyFill="1" applyAlignment="1" applyProtection="1">
      <alignment vertical="center"/>
    </xf>
    <xf numFmtId="0" fontId="0" fillId="9" borderId="0" xfId="0" applyFill="1" applyProtection="1"/>
    <xf numFmtId="0" fontId="18" fillId="9" borderId="0" xfId="0" applyFont="1" applyFill="1" applyAlignment="1" applyProtection="1">
      <alignment horizontal="left" vertical="center" wrapText="1"/>
    </xf>
    <xf numFmtId="0" fontId="6" fillId="8" borderId="0" xfId="0" applyFont="1" applyFill="1" applyProtection="1"/>
    <xf numFmtId="0" fontId="0" fillId="8" borderId="0" xfId="0" applyFill="1" applyProtection="1"/>
    <xf numFmtId="0" fontId="15" fillId="8" borderId="0" xfId="0" applyFont="1" applyFill="1" applyAlignment="1" applyProtection="1">
      <alignment vertical="center"/>
    </xf>
    <xf numFmtId="0" fontId="0" fillId="0" borderId="0" xfId="0" applyProtection="1"/>
    <xf numFmtId="0" fontId="6" fillId="9" borderId="0" xfId="0" applyFont="1" applyFill="1" applyProtection="1"/>
    <xf numFmtId="0" fontId="19" fillId="9" borderId="0" xfId="0" applyFont="1" applyFill="1" applyAlignment="1" applyProtection="1">
      <alignment vertical="center"/>
    </xf>
    <xf numFmtId="0" fontId="18" fillId="9" borderId="0" xfId="0" applyFont="1" applyFill="1" applyProtection="1"/>
    <xf numFmtId="0" fontId="16" fillId="2" borderId="32" xfId="5" applyFont="1" applyFill="1" applyBorder="1" applyAlignment="1">
      <alignment horizontal="left" vertical="center" wrapText="1"/>
    </xf>
    <xf numFmtId="0" fontId="15" fillId="5" borderId="0" xfId="0" applyFont="1" applyFill="1" applyAlignment="1" applyProtection="1">
      <alignment vertical="center"/>
      <protection locked="0"/>
    </xf>
    <xf numFmtId="0" fontId="15" fillId="6" borderId="0" xfId="0" applyFont="1" applyFill="1" applyAlignment="1" applyProtection="1">
      <alignment vertical="center"/>
      <protection locked="0"/>
    </xf>
    <xf numFmtId="0" fontId="18" fillId="9" borderId="0" xfId="0" applyFont="1" applyFill="1" applyAlignment="1" applyProtection="1">
      <alignment horizontal="center" vertical="center"/>
      <protection locked="0"/>
    </xf>
    <xf numFmtId="0" fontId="18" fillId="9" borderId="0" xfId="0" applyFont="1" applyFill="1" applyAlignment="1" applyProtection="1">
      <alignment vertical="center"/>
      <protection locked="0"/>
    </xf>
    <xf numFmtId="0" fontId="15" fillId="9" borderId="0" xfId="0" applyFont="1" applyFill="1" applyAlignment="1" applyProtection="1">
      <alignment vertical="center"/>
      <protection locked="0"/>
    </xf>
    <xf numFmtId="0" fontId="28" fillId="9" borderId="0" xfId="0" applyFont="1" applyFill="1" applyAlignment="1" applyProtection="1">
      <alignment horizontal="center" vertical="center" wrapText="1"/>
      <protection locked="0"/>
    </xf>
    <xf numFmtId="0" fontId="0" fillId="9" borderId="0" xfId="0" applyFill="1" applyBorder="1" applyProtection="1"/>
    <xf numFmtId="0" fontId="18" fillId="9" borderId="0" xfId="0" applyFont="1" applyFill="1" applyBorder="1" applyAlignment="1" applyProtection="1">
      <alignment vertical="center"/>
    </xf>
    <xf numFmtId="0" fontId="17" fillId="10" borderId="32" xfId="0" applyFont="1" applyFill="1" applyBorder="1" applyAlignment="1" applyProtection="1">
      <alignment vertical="center"/>
    </xf>
    <xf numFmtId="0" fontId="14" fillId="8" borderId="0" xfId="0" applyFont="1" applyFill="1" applyAlignment="1" applyProtection="1">
      <alignment vertical="center"/>
    </xf>
    <xf numFmtId="15" fontId="19" fillId="9" borderId="0" xfId="0" applyNumberFormat="1" applyFont="1" applyFill="1" applyAlignment="1" applyProtection="1">
      <alignment horizontal="left" vertical="center"/>
    </xf>
    <xf numFmtId="0" fontId="6" fillId="0" borderId="0" xfId="0" applyFont="1" applyFill="1" applyProtection="1"/>
    <xf numFmtId="0" fontId="18" fillId="9" borderId="0" xfId="0" applyFont="1" applyFill="1" applyAlignment="1" applyProtection="1">
      <alignment horizontal="left" vertical="center"/>
    </xf>
    <xf numFmtId="0" fontId="0" fillId="0" borderId="0" xfId="0"/>
    <xf numFmtId="0" fontId="1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5" fontId="0" fillId="0" borderId="0" xfId="0" applyNumberFormat="1" applyFill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15" fontId="0" fillId="0" borderId="0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14" fillId="8" borderId="0" xfId="0" applyFont="1" applyFill="1" applyAlignment="1" applyProtection="1">
      <alignment horizontal="left" vertical="center"/>
    </xf>
    <xf numFmtId="0" fontId="15" fillId="8" borderId="0" xfId="0" applyFont="1" applyFill="1" applyAlignment="1" applyProtection="1">
      <alignment horizontal="right"/>
    </xf>
    <xf numFmtId="0" fontId="18" fillId="9" borderId="0" xfId="0" applyFont="1" applyFill="1" applyBorder="1" applyAlignment="1" applyProtection="1">
      <alignment horizontal="left"/>
    </xf>
    <xf numFmtId="0" fontId="15" fillId="9" borderId="0" xfId="0" applyFont="1" applyFill="1" applyBorder="1" applyAlignment="1" applyProtection="1">
      <alignment horizontal="left"/>
    </xf>
    <xf numFmtId="0" fontId="18" fillId="9" borderId="0" xfId="0" applyFont="1" applyFill="1" applyAlignment="1" applyProtection="1">
      <alignment horizontal="left"/>
    </xf>
    <xf numFmtId="171" fontId="15" fillId="0" borderId="15" xfId="0" applyNumberFormat="1" applyFont="1" applyFill="1" applyBorder="1" applyAlignment="1" applyProtection="1">
      <alignment horizontal="left"/>
      <protection locked="0"/>
    </xf>
    <xf numFmtId="171" fontId="15" fillId="0" borderId="15" xfId="0" applyNumberFormat="1" applyFont="1" applyFill="1" applyBorder="1" applyAlignment="1" applyProtection="1">
      <alignment horizontal="left" vertical="center"/>
      <protection locked="0"/>
    </xf>
    <xf numFmtId="0" fontId="17" fillId="9" borderId="0" xfId="0" applyFont="1" applyFill="1" applyBorder="1" applyAlignment="1" applyProtection="1">
      <alignment horizontal="left" vertical="center"/>
    </xf>
    <xf numFmtId="0" fontId="1" fillId="0" borderId="0" xfId="984" applyFill="1" applyAlignment="1">
      <alignment horizontal="center"/>
    </xf>
    <xf numFmtId="0" fontId="1" fillId="0" borderId="0" xfId="984" applyFill="1"/>
    <xf numFmtId="0" fontId="32" fillId="0" borderId="0" xfId="984" applyFont="1" applyFill="1" applyAlignment="1">
      <alignment vertical="center"/>
    </xf>
    <xf numFmtId="0" fontId="33" fillId="12" borderId="15" xfId="985" applyFont="1" applyFill="1" applyBorder="1" applyAlignment="1" applyProtection="1">
      <alignment horizontal="center" vertical="center" wrapText="1"/>
    </xf>
    <xf numFmtId="0" fontId="33" fillId="12" borderId="15" xfId="986" applyFont="1" applyFill="1" applyBorder="1" applyAlignment="1" applyProtection="1">
      <alignment horizontal="center" vertical="center" wrapText="1"/>
    </xf>
    <xf numFmtId="0" fontId="1" fillId="13" borderId="15" xfId="984" applyFill="1" applyBorder="1" applyAlignment="1">
      <alignment horizontal="center"/>
    </xf>
    <xf numFmtId="0" fontId="34" fillId="13" borderId="15" xfId="984" applyFont="1" applyFill="1" applyBorder="1" applyAlignment="1">
      <alignment wrapText="1"/>
    </xf>
    <xf numFmtId="0" fontId="35" fillId="14" borderId="15" xfId="985" applyFont="1" applyFill="1" applyBorder="1" applyAlignment="1" applyProtection="1">
      <alignment vertical="center" wrapText="1"/>
    </xf>
    <xf numFmtId="0" fontId="35" fillId="5" borderId="15" xfId="985" applyFont="1" applyFill="1" applyBorder="1" applyAlignment="1" applyProtection="1">
      <alignment vertical="center" wrapText="1"/>
    </xf>
    <xf numFmtId="0" fontId="35" fillId="15" borderId="15" xfId="985" applyFont="1" applyFill="1" applyBorder="1" applyAlignment="1" applyProtection="1">
      <alignment vertical="center" wrapText="1"/>
    </xf>
    <xf numFmtId="0" fontId="35" fillId="16" borderId="15" xfId="985" applyFont="1" applyFill="1" applyBorder="1" applyAlignment="1" applyProtection="1">
      <alignment vertical="center" wrapText="1"/>
    </xf>
    <xf numFmtId="0" fontId="1" fillId="11" borderId="15" xfId="984" applyFill="1" applyBorder="1"/>
    <xf numFmtId="0" fontId="36" fillId="13" borderId="15" xfId="984" applyFont="1" applyFill="1" applyBorder="1" applyAlignment="1">
      <alignment wrapText="1"/>
    </xf>
    <xf numFmtId="0" fontId="37" fillId="14" borderId="15" xfId="985" applyFont="1" applyFill="1" applyBorder="1" applyAlignment="1" applyProtection="1">
      <alignment vertical="center" wrapText="1"/>
    </xf>
    <xf numFmtId="0" fontId="37" fillId="5" borderId="15" xfId="986" applyFont="1" applyFill="1" applyBorder="1" applyAlignment="1" applyProtection="1">
      <alignment horizontal="center" vertical="center"/>
    </xf>
    <xf numFmtId="0" fontId="37" fillId="15" borderId="15" xfId="986" applyFont="1" applyFill="1" applyBorder="1" applyAlignment="1" applyProtection="1">
      <alignment horizontal="center" vertical="center"/>
    </xf>
    <xf numFmtId="0" fontId="38" fillId="16" borderId="15" xfId="986" applyNumberFormat="1" applyFont="1" applyFill="1" applyBorder="1" applyAlignment="1" applyProtection="1">
      <alignment horizontal="center" vertical="center" wrapText="1"/>
      <protection locked="0"/>
    </xf>
    <xf numFmtId="0" fontId="38" fillId="16" borderId="15" xfId="986" applyFont="1" applyFill="1" applyBorder="1" applyAlignment="1" applyProtection="1">
      <alignment horizontal="center" vertical="center"/>
      <protection locked="0"/>
    </xf>
    <xf numFmtId="0" fontId="32" fillId="16" borderId="15" xfId="986" applyFont="1" applyFill="1" applyBorder="1" applyAlignment="1" applyProtection="1">
      <alignment horizontal="center" vertical="center"/>
      <protection locked="0"/>
    </xf>
    <xf numFmtId="0" fontId="39" fillId="13" borderId="15" xfId="984" applyFont="1" applyFill="1" applyBorder="1" applyAlignment="1">
      <alignment wrapText="1"/>
    </xf>
    <xf numFmtId="0" fontId="36" fillId="13" borderId="15" xfId="984" applyFont="1" applyFill="1" applyBorder="1" applyAlignment="1">
      <alignment horizontal="left" wrapText="1"/>
    </xf>
    <xf numFmtId="0" fontId="40" fillId="13" borderId="15" xfId="984" applyFont="1" applyFill="1" applyBorder="1" applyAlignment="1">
      <alignment vertical="center" wrapText="1"/>
    </xf>
    <xf numFmtId="0" fontId="36" fillId="13" borderId="15" xfId="984" applyFont="1" applyFill="1" applyBorder="1" applyAlignment="1">
      <alignment vertical="center" wrapText="1"/>
    </xf>
    <xf numFmtId="0" fontId="38" fillId="5" borderId="15" xfId="985" applyFont="1" applyFill="1" applyBorder="1" applyAlignment="1" applyProtection="1">
      <alignment horizontal="center" vertical="center" wrapText="1"/>
    </xf>
    <xf numFmtId="0" fontId="38" fillId="5" borderId="15" xfId="985" applyFont="1" applyFill="1" applyBorder="1" applyAlignment="1" applyProtection="1">
      <alignment vertical="center" wrapText="1"/>
    </xf>
    <xf numFmtId="0" fontId="38" fillId="15" borderId="15" xfId="985" applyFont="1" applyFill="1" applyBorder="1" applyAlignment="1" applyProtection="1">
      <alignment horizontal="center" vertical="center" wrapText="1"/>
    </xf>
    <xf numFmtId="0" fontId="38" fillId="15" borderId="15" xfId="985" applyFont="1" applyFill="1" applyBorder="1" applyAlignment="1" applyProtection="1">
      <alignment vertical="center" wrapText="1"/>
    </xf>
    <xf numFmtId="0" fontId="38" fillId="16" borderId="15" xfId="985" applyFont="1" applyFill="1" applyBorder="1" applyAlignment="1" applyProtection="1">
      <alignment horizontal="center" vertical="center" wrapText="1"/>
    </xf>
    <xf numFmtId="0" fontId="39" fillId="13" borderId="15" xfId="984" applyFont="1" applyFill="1" applyBorder="1" applyAlignment="1">
      <alignment vertical="center" wrapText="1"/>
    </xf>
    <xf numFmtId="0" fontId="38" fillId="14" borderId="15" xfId="985" applyFont="1" applyFill="1" applyBorder="1" applyAlignment="1" applyProtection="1">
      <alignment horizontal="left" vertical="center" wrapText="1"/>
    </xf>
    <xf numFmtId="0" fontId="38" fillId="14" borderId="15" xfId="985" applyFont="1" applyFill="1" applyBorder="1" applyAlignment="1" applyProtection="1">
      <alignment horizontal="center" vertical="center" wrapText="1"/>
    </xf>
    <xf numFmtId="0" fontId="36" fillId="13" borderId="7" xfId="984" applyFont="1" applyFill="1" applyBorder="1" applyAlignment="1">
      <alignment horizontal="left" vertical="center" wrapText="1"/>
    </xf>
    <xf numFmtId="0" fontId="37" fillId="5" borderId="7" xfId="986" applyFont="1" applyFill="1" applyBorder="1" applyAlignment="1" applyProtection="1">
      <alignment horizontal="center" vertical="center"/>
    </xf>
    <xf numFmtId="0" fontId="37" fillId="15" borderId="7" xfId="986" applyFont="1" applyFill="1" applyBorder="1" applyAlignment="1" applyProtection="1">
      <alignment horizontal="center" vertical="center"/>
    </xf>
    <xf numFmtId="0" fontId="38" fillId="16" borderId="7" xfId="986" applyFont="1" applyFill="1" applyBorder="1" applyAlignment="1" applyProtection="1">
      <alignment horizontal="center" vertical="center"/>
      <protection locked="0"/>
    </xf>
    <xf numFmtId="0" fontId="38" fillId="5" borderId="15" xfId="986" applyFont="1" applyFill="1" applyBorder="1" applyAlignment="1" applyProtection="1">
      <alignment horizontal="center" vertical="center"/>
    </xf>
    <xf numFmtId="0" fontId="38" fillId="15" borderId="15" xfId="986" applyFont="1" applyFill="1" applyBorder="1" applyAlignment="1" applyProtection="1">
      <alignment horizontal="center" vertical="center"/>
    </xf>
    <xf numFmtId="0" fontId="32" fillId="14" borderId="15" xfId="984" applyFont="1" applyFill="1" applyBorder="1" applyAlignment="1">
      <alignment vertical="center"/>
    </xf>
    <xf numFmtId="0" fontId="38" fillId="5" borderId="15" xfId="984" applyFont="1" applyFill="1" applyBorder="1" applyAlignment="1">
      <alignment horizontal="center" vertical="center"/>
    </xf>
    <xf numFmtId="0" fontId="38" fillId="15" borderId="15" xfId="984" applyFont="1" applyFill="1" applyBorder="1" applyAlignment="1">
      <alignment horizontal="center" vertical="center"/>
    </xf>
    <xf numFmtId="0" fontId="38" fillId="16" borderId="15" xfId="984" applyFont="1" applyFill="1" applyBorder="1" applyAlignment="1">
      <alignment horizontal="center" vertical="center"/>
    </xf>
    <xf numFmtId="0" fontId="38" fillId="0" borderId="0" xfId="984" applyFont="1" applyFill="1" applyAlignment="1">
      <alignment vertical="center"/>
    </xf>
    <xf numFmtId="15" fontId="1" fillId="11" borderId="15" xfId="984" applyNumberFormat="1" applyFill="1" applyBorder="1"/>
    <xf numFmtId="0" fontId="14" fillId="8" borderId="0" xfId="0" applyFont="1" applyFill="1" applyAlignment="1" applyProtection="1">
      <alignment horizontal="left"/>
    </xf>
    <xf numFmtId="0" fontId="32" fillId="0" borderId="15" xfId="984" applyFont="1" applyFill="1" applyBorder="1" applyAlignment="1">
      <alignment horizontal="center" vertical="center"/>
    </xf>
    <xf numFmtId="0" fontId="0" fillId="9" borderId="9" xfId="0" applyFill="1" applyBorder="1" applyAlignment="1" applyProtection="1"/>
    <xf numFmtId="0" fontId="0" fillId="9" borderId="8" xfId="0" applyFill="1" applyBorder="1" applyAlignment="1" applyProtection="1"/>
    <xf numFmtId="0" fontId="0" fillId="9" borderId="10" xfId="0" applyFill="1" applyBorder="1" applyAlignment="1" applyProtection="1"/>
    <xf numFmtId="0" fontId="0" fillId="9" borderId="0" xfId="0" applyFill="1" applyBorder="1" applyAlignment="1" applyProtection="1"/>
    <xf numFmtId="0" fontId="0" fillId="9" borderId="12" xfId="0" applyFill="1" applyBorder="1" applyAlignment="1" applyProtection="1"/>
    <xf numFmtId="0" fontId="0" fillId="9" borderId="11" xfId="0" applyFill="1" applyBorder="1" applyAlignment="1" applyProtection="1"/>
    <xf numFmtId="0" fontId="15" fillId="0" borderId="0" xfId="0" applyFont="1"/>
    <xf numFmtId="0" fontId="15" fillId="0" borderId="24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8" borderId="16" xfId="0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horizontal="center" vertical="center"/>
    </xf>
    <xf numFmtId="0" fontId="15" fillId="8" borderId="26" xfId="0" applyFont="1" applyFill="1" applyBorder="1" applyAlignment="1">
      <alignment horizontal="center" vertical="center"/>
    </xf>
    <xf numFmtId="0" fontId="15" fillId="8" borderId="51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15" fillId="8" borderId="23" xfId="0" applyFont="1" applyFill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15" fillId="8" borderId="18" xfId="0" applyFont="1" applyFill="1" applyBorder="1" applyAlignment="1">
      <alignment horizontal="left" vertical="center"/>
    </xf>
    <xf numFmtId="0" fontId="15" fillId="8" borderId="21" xfId="0" applyFont="1" applyFill="1" applyBorder="1" applyAlignment="1">
      <alignment horizontal="left" vertical="center" wrapText="1"/>
    </xf>
    <xf numFmtId="0" fontId="15" fillId="8" borderId="33" xfId="0" applyFont="1" applyFill="1" applyBorder="1" applyAlignment="1">
      <alignment horizontal="left" vertical="center"/>
    </xf>
    <xf numFmtId="0" fontId="15" fillId="8" borderId="47" xfId="0" applyFont="1" applyFill="1" applyBorder="1" applyAlignment="1">
      <alignment horizontal="left" vertical="center"/>
    </xf>
    <xf numFmtId="0" fontId="31" fillId="0" borderId="19" xfId="0" applyFont="1" applyFill="1" applyBorder="1" applyAlignment="1" applyProtection="1">
      <alignment vertical="center" wrapText="1"/>
    </xf>
    <xf numFmtId="0" fontId="31" fillId="0" borderId="0" xfId="0" applyFont="1" applyFill="1" applyBorder="1" applyAlignment="1">
      <alignment vertical="center"/>
    </xf>
    <xf numFmtId="0" fontId="31" fillId="0" borderId="0" xfId="0" applyFont="1" applyFill="1" applyBorder="1" applyAlignment="1">
      <alignment horizontal="left" vertical="center"/>
    </xf>
    <xf numFmtId="15" fontId="27" fillId="0" borderId="0" xfId="0" applyNumberFormat="1" applyFont="1" applyFill="1" applyBorder="1" applyAlignment="1" applyProtection="1">
      <alignment horizontal="right" vertical="center" wrapText="1"/>
    </xf>
    <xf numFmtId="174" fontId="27" fillId="0" borderId="15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15" xfId="0" applyFont="1" applyFill="1" applyBorder="1" applyAlignment="1" applyProtection="1">
      <alignment horizontal="left" vertical="center" wrapText="1"/>
      <protection locked="0"/>
    </xf>
    <xf numFmtId="174" fontId="31" fillId="0" borderId="15" xfId="0" applyNumberFormat="1" applyFont="1" applyFill="1" applyBorder="1" applyAlignment="1" applyProtection="1">
      <alignment horizontal="left" vertical="center" wrapText="1"/>
    </xf>
    <xf numFmtId="0" fontId="31" fillId="0" borderId="49" xfId="0" applyFont="1" applyFill="1" applyBorder="1" applyAlignment="1" applyProtection="1">
      <alignment vertical="center" wrapText="1"/>
    </xf>
    <xf numFmtId="174" fontId="27" fillId="0" borderId="32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7" fillId="0" borderId="13" xfId="0" applyFont="1" applyFill="1" applyBorder="1" applyAlignment="1" applyProtection="1">
      <alignment horizontal="left" vertical="center" wrapText="1"/>
      <protection locked="0"/>
    </xf>
    <xf numFmtId="175" fontId="27" fillId="0" borderId="15" xfId="0" applyNumberFormat="1" applyFont="1" applyFill="1" applyBorder="1" applyAlignment="1" applyProtection="1">
      <alignment horizontal="left" vertical="center" wrapText="1"/>
      <protection locked="0"/>
    </xf>
    <xf numFmtId="1" fontId="27" fillId="0" borderId="5" xfId="0" applyNumberFormat="1" applyFont="1" applyFill="1" applyBorder="1" applyAlignment="1" applyProtection="1">
      <alignment vertical="center" wrapText="1"/>
    </xf>
    <xf numFmtId="1" fontId="27" fillId="0" borderId="5" xfId="0" applyNumberFormat="1" applyFont="1" applyFill="1" applyBorder="1" applyAlignment="1" applyProtection="1">
      <alignment horizontal="center" vertical="center" wrapText="1"/>
    </xf>
    <xf numFmtId="0" fontId="27" fillId="0" borderId="40" xfId="0" applyFont="1" applyFill="1" applyBorder="1" applyAlignment="1" applyProtection="1">
      <alignment horizontal="left" vertical="center" wrapText="1"/>
    </xf>
    <xf numFmtId="15" fontId="27" fillId="0" borderId="40" xfId="0" applyNumberFormat="1" applyFont="1" applyFill="1" applyBorder="1" applyAlignment="1" applyProtection="1">
      <alignment horizontal="left" vertical="center" wrapText="1"/>
    </xf>
    <xf numFmtId="0" fontId="27" fillId="0" borderId="43" xfId="0" applyFont="1" applyFill="1" applyBorder="1" applyAlignment="1" applyProtection="1">
      <alignment horizontal="left" vertical="center" wrapText="1"/>
    </xf>
    <xf numFmtId="0" fontId="31" fillId="0" borderId="22" xfId="0" applyFont="1" applyFill="1" applyBorder="1" applyAlignment="1" applyProtection="1">
      <alignment vertical="center" wrapText="1"/>
    </xf>
    <xf numFmtId="169" fontId="27" fillId="0" borderId="53" xfId="0" applyNumberFormat="1" applyFont="1" applyFill="1" applyBorder="1" applyAlignment="1" applyProtection="1">
      <alignment horizontal="left" vertical="center" wrapText="1"/>
    </xf>
    <xf numFmtId="0" fontId="27" fillId="0" borderId="16" xfId="0" applyFont="1" applyFill="1" applyBorder="1" applyAlignment="1" applyProtection="1">
      <alignment vertical="center" wrapText="1"/>
    </xf>
    <xf numFmtId="0" fontId="27" fillId="0" borderId="19" xfId="0" applyFont="1" applyFill="1" applyBorder="1" applyAlignment="1" applyProtection="1">
      <alignment vertical="center" wrapText="1"/>
    </xf>
    <xf numFmtId="0" fontId="27" fillId="0" borderId="22" xfId="0" applyFont="1" applyFill="1" applyBorder="1" applyAlignment="1" applyProtection="1">
      <alignment vertical="center" wrapText="1"/>
    </xf>
    <xf numFmtId="0" fontId="45" fillId="0" borderId="1" xfId="0" applyFont="1" applyFill="1" applyBorder="1" applyAlignment="1" applyProtection="1">
      <alignment vertical="center" wrapText="1"/>
    </xf>
    <xf numFmtId="0" fontId="45" fillId="0" borderId="31" xfId="0" applyFont="1" applyFill="1" applyBorder="1" applyAlignment="1" applyProtection="1">
      <alignment horizontal="left" vertical="center" wrapText="1"/>
    </xf>
    <xf numFmtId="0" fontId="27" fillId="0" borderId="48" xfId="0" applyFont="1" applyFill="1" applyBorder="1" applyAlignment="1" applyProtection="1">
      <alignment vertical="center" wrapText="1"/>
    </xf>
    <xf numFmtId="0" fontId="27" fillId="0" borderId="21" xfId="0" applyFont="1" applyFill="1" applyBorder="1" applyAlignment="1" applyProtection="1">
      <alignment horizontal="left" vertical="center" wrapText="1"/>
      <protection locked="0"/>
    </xf>
    <xf numFmtId="174" fontId="27" fillId="0" borderId="21" xfId="0" applyNumberFormat="1" applyFont="1" applyFill="1" applyBorder="1" applyAlignment="1" applyProtection="1">
      <alignment horizontal="left" vertical="center" wrapText="1"/>
      <protection locked="0"/>
    </xf>
    <xf numFmtId="174" fontId="31" fillId="0" borderId="21" xfId="0" applyNumberFormat="1" applyFont="1" applyFill="1" applyBorder="1" applyAlignment="1" applyProtection="1">
      <alignment horizontal="left" vertical="center" wrapText="1"/>
    </xf>
    <xf numFmtId="174" fontId="31" fillId="0" borderId="23" xfId="0" applyNumberFormat="1" applyFont="1" applyFill="1" applyBorder="1" applyAlignment="1" applyProtection="1">
      <alignment horizontal="left" vertical="center" wrapText="1"/>
    </xf>
    <xf numFmtId="174" fontId="31" fillId="0" borderId="50" xfId="0" applyNumberFormat="1" applyFont="1" applyFill="1" applyBorder="1" applyAlignment="1" applyProtection="1">
      <alignment horizontal="left" vertical="center" wrapText="1"/>
    </xf>
    <xf numFmtId="0" fontId="27" fillId="0" borderId="49" xfId="0" applyFont="1" applyFill="1" applyBorder="1" applyAlignment="1" applyProtection="1">
      <alignment vertical="center" wrapText="1"/>
    </xf>
    <xf numFmtId="0" fontId="31" fillId="0" borderId="23" xfId="0" applyFont="1" applyFill="1" applyBorder="1" applyAlignment="1" applyProtection="1">
      <alignment horizontal="center" vertical="center" wrapText="1"/>
    </xf>
    <xf numFmtId="174" fontId="27" fillId="0" borderId="13" xfId="0" applyNumberFormat="1" applyFont="1" applyFill="1" applyBorder="1" applyAlignment="1" applyProtection="1">
      <alignment horizontal="left" vertical="center" wrapText="1"/>
      <protection locked="0"/>
    </xf>
    <xf numFmtId="175" fontId="27" fillId="0" borderId="14" xfId="0" applyNumberFormat="1" applyFont="1" applyFill="1" applyBorder="1" applyAlignment="1" applyProtection="1">
      <alignment horizontal="left" vertical="center" wrapText="1"/>
      <protection locked="0"/>
    </xf>
    <xf numFmtId="175" fontId="27" fillId="0" borderId="23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26" xfId="0" applyFont="1" applyFill="1" applyBorder="1" applyAlignment="1" applyProtection="1">
      <alignment vertical="center" wrapText="1"/>
    </xf>
    <xf numFmtId="0" fontId="27" fillId="0" borderId="56" xfId="0" applyFont="1" applyFill="1" applyBorder="1" applyAlignment="1" applyProtection="1">
      <alignment horizontal="left" vertical="center" wrapText="1"/>
    </xf>
    <xf numFmtId="0" fontId="45" fillId="0" borderId="34" xfId="0" applyFont="1" applyFill="1" applyBorder="1" applyAlignment="1" applyProtection="1">
      <alignment vertical="center" wrapText="1"/>
    </xf>
    <xf numFmtId="0" fontId="45" fillId="0" borderId="3" xfId="0" applyFont="1" applyFill="1" applyBorder="1" applyAlignment="1" applyProtection="1">
      <alignment horizontal="left" vertical="center" wrapText="1"/>
    </xf>
    <xf numFmtId="0" fontId="31" fillId="0" borderId="28" xfId="0" applyFont="1" applyFill="1" applyBorder="1" applyAlignment="1" applyProtection="1">
      <alignment vertical="center" wrapText="1"/>
    </xf>
    <xf numFmtId="0" fontId="27" fillId="0" borderId="19" xfId="0" applyFont="1" applyFill="1" applyBorder="1" applyAlignment="1" applyProtection="1">
      <alignment horizontal="left" vertical="center" wrapText="1"/>
    </xf>
    <xf numFmtId="0" fontId="27" fillId="0" borderId="15" xfId="0" applyFont="1" applyFill="1" applyBorder="1" applyAlignment="1" applyProtection="1">
      <alignment horizontal="left" vertical="center" wrapText="1"/>
    </xf>
    <xf numFmtId="0" fontId="45" fillId="0" borderId="34" xfId="0" applyFont="1" applyFill="1" applyBorder="1" applyAlignment="1">
      <alignment vertical="center"/>
    </xf>
    <xf numFmtId="0" fontId="45" fillId="0" borderId="35" xfId="0" applyFont="1" applyFill="1" applyBorder="1" applyAlignment="1">
      <alignment vertical="center"/>
    </xf>
    <xf numFmtId="0" fontId="31" fillId="0" borderId="51" xfId="0" applyFont="1" applyFill="1" applyBorder="1" applyAlignment="1" applyProtection="1">
      <alignment horizontal="left" vertical="center" wrapText="1"/>
    </xf>
    <xf numFmtId="1" fontId="27" fillId="0" borderId="0" xfId="0" applyNumberFormat="1" applyFont="1" applyFill="1" applyBorder="1" applyAlignment="1" applyProtection="1">
      <alignment horizontal="left" vertical="center" wrapText="1"/>
    </xf>
    <xf numFmtId="0" fontId="45" fillId="0" borderId="22" xfId="0" applyFont="1" applyFill="1" applyBorder="1" applyAlignment="1" applyProtection="1">
      <alignment vertical="center" wrapText="1"/>
    </xf>
    <xf numFmtId="0" fontId="45" fillId="0" borderId="1" xfId="0" applyFont="1" applyFill="1" applyBorder="1" applyAlignment="1" applyProtection="1">
      <alignment horizontal="left" vertical="center"/>
    </xf>
    <xf numFmtId="0" fontId="45" fillId="0" borderId="54" xfId="0" applyFont="1" applyFill="1" applyBorder="1" applyAlignment="1" applyProtection="1">
      <alignment horizontal="left" vertical="center"/>
    </xf>
    <xf numFmtId="0" fontId="45" fillId="0" borderId="35" xfId="0" applyFont="1" applyFill="1" applyBorder="1" applyAlignment="1" applyProtection="1">
      <alignment horizontal="left" vertical="center"/>
    </xf>
    <xf numFmtId="0" fontId="27" fillId="0" borderId="0" xfId="0" applyFont="1" applyFill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0" fontId="27" fillId="0" borderId="5" xfId="0" applyFont="1" applyFill="1" applyBorder="1" applyAlignment="1" applyProtection="1">
      <alignment vertical="center"/>
    </xf>
    <xf numFmtId="0" fontId="45" fillId="0" borderId="4" xfId="0" applyFont="1" applyFill="1" applyBorder="1" applyAlignment="1" applyProtection="1">
      <alignment vertical="center"/>
    </xf>
    <xf numFmtId="0" fontId="27" fillId="0" borderId="0" xfId="0" applyFont="1" applyFill="1" applyBorder="1" applyAlignment="1" applyProtection="1">
      <alignment horizontal="left" vertical="center"/>
    </xf>
    <xf numFmtId="0" fontId="27" fillId="0" borderId="4" xfId="0" applyFont="1" applyFill="1" applyBorder="1" applyAlignment="1" applyProtection="1">
      <alignment vertical="center"/>
    </xf>
    <xf numFmtId="0" fontId="27" fillId="0" borderId="32" xfId="0" applyFont="1" applyFill="1" applyBorder="1" applyAlignment="1" applyProtection="1">
      <alignment vertical="center"/>
      <protection locked="0"/>
    </xf>
    <xf numFmtId="0" fontId="27" fillId="0" borderId="39" xfId="0" applyFont="1" applyFill="1" applyBorder="1" applyAlignment="1" applyProtection="1">
      <alignment vertical="center"/>
      <protection locked="0"/>
    </xf>
    <xf numFmtId="0" fontId="27" fillId="0" borderId="40" xfId="0" applyFont="1" applyFill="1" applyBorder="1" applyAlignment="1" applyProtection="1">
      <alignment vertical="center"/>
      <protection locked="0"/>
    </xf>
    <xf numFmtId="0" fontId="27" fillId="0" borderId="14" xfId="0" applyFont="1" applyFill="1" applyBorder="1" applyAlignment="1" applyProtection="1">
      <alignment horizontal="left" vertical="center" wrapText="1"/>
    </xf>
    <xf numFmtId="0" fontId="31" fillId="0" borderId="52" xfId="0" applyFont="1" applyFill="1" applyBorder="1" applyAlignment="1" applyProtection="1">
      <alignment horizontal="center" vertical="center" wrapText="1"/>
    </xf>
    <xf numFmtId="0" fontId="31" fillId="0" borderId="14" xfId="0" applyFont="1" applyFill="1" applyBorder="1" applyAlignment="1" applyProtection="1">
      <alignment horizontal="left" vertical="center"/>
    </xf>
    <xf numFmtId="0" fontId="31" fillId="0" borderId="52" xfId="0" applyFont="1" applyFill="1" applyBorder="1" applyAlignment="1" applyProtection="1">
      <alignment horizontal="left" vertical="center" wrapText="1"/>
    </xf>
    <xf numFmtId="174" fontId="31" fillId="0" borderId="14" xfId="0" applyNumberFormat="1" applyFont="1" applyFill="1" applyBorder="1" applyAlignment="1" applyProtection="1">
      <alignment horizontal="left" vertical="center" wrapText="1"/>
      <protection locked="0"/>
    </xf>
    <xf numFmtId="174" fontId="31" fillId="0" borderId="33" xfId="0" applyNumberFormat="1" applyFont="1" applyFill="1" applyBorder="1" applyAlignment="1" applyProtection="1">
      <alignment horizontal="left" vertical="center" wrapText="1"/>
      <protection locked="0"/>
    </xf>
    <xf numFmtId="0" fontId="31" fillId="0" borderId="0" xfId="0" applyFont="1" applyFill="1" applyBorder="1" applyAlignment="1" applyProtection="1">
      <alignment horizontal="center" vertical="center"/>
    </xf>
    <xf numFmtId="174" fontId="31" fillId="0" borderId="33" xfId="0" applyNumberFormat="1" applyFont="1" applyFill="1" applyBorder="1" applyAlignment="1" applyProtection="1">
      <alignment horizontal="left" vertical="center"/>
    </xf>
    <xf numFmtId="174" fontId="31" fillId="0" borderId="47" xfId="0" applyNumberFormat="1" applyFont="1" applyFill="1" applyBorder="1" applyAlignment="1" applyProtection="1">
      <alignment horizontal="left" vertical="center"/>
    </xf>
    <xf numFmtId="0" fontId="14" fillId="8" borderId="19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45" fillId="0" borderId="31" xfId="0" applyFont="1" applyFill="1" applyBorder="1" applyAlignment="1" applyProtection="1">
      <alignment horizontal="left" vertical="center" wrapText="1"/>
    </xf>
    <xf numFmtId="0" fontId="45" fillId="0" borderId="35" xfId="0" applyFont="1" applyFill="1" applyBorder="1" applyAlignment="1" applyProtection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5" fillId="8" borderId="18" xfId="0" applyNumberFormat="1" applyFont="1" applyFill="1" applyBorder="1" applyAlignment="1">
      <alignment horizontal="right" vertical="center"/>
    </xf>
    <xf numFmtId="168" fontId="15" fillId="8" borderId="21" xfId="0" applyNumberFormat="1" applyFont="1" applyFill="1" applyBorder="1" applyAlignment="1">
      <alignment horizontal="right" vertical="center" wrapText="1"/>
    </xf>
    <xf numFmtId="165" fontId="15" fillId="8" borderId="21" xfId="3" applyFont="1" applyFill="1" applyBorder="1" applyAlignment="1">
      <alignment horizontal="right" vertical="center"/>
    </xf>
    <xf numFmtId="173" fontId="15" fillId="8" borderId="50" xfId="3" applyNumberFormat="1" applyFont="1" applyFill="1" applyBorder="1" applyAlignment="1">
      <alignment horizontal="right" vertical="center"/>
    </xf>
    <xf numFmtId="0" fontId="15" fillId="0" borderId="0" xfId="0" applyFont="1" applyBorder="1" applyAlignment="1">
      <alignment horizontal="center" vertical="center"/>
    </xf>
    <xf numFmtId="0" fontId="15" fillId="8" borderId="17" xfId="0" applyFont="1" applyFill="1" applyBorder="1" applyAlignment="1">
      <alignment horizontal="left" vertical="center"/>
    </xf>
    <xf numFmtId="0" fontId="15" fillId="8" borderId="15" xfId="0" applyFont="1" applyFill="1" applyBorder="1" applyAlignment="1">
      <alignment horizontal="left" vertical="center"/>
    </xf>
    <xf numFmtId="0" fontId="43" fillId="0" borderId="0" xfId="0" applyFont="1" applyBorder="1" applyAlignment="1">
      <alignment horizontal="left" vertical="center"/>
    </xf>
    <xf numFmtId="0" fontId="15" fillId="0" borderId="0" xfId="0" applyFont="1" applyBorder="1"/>
    <xf numFmtId="0" fontId="14" fillId="0" borderId="5" xfId="0" applyFont="1" applyBorder="1" applyAlignment="1">
      <alignment vertical="center"/>
    </xf>
    <xf numFmtId="0" fontId="45" fillId="0" borderId="54" xfId="0" applyFont="1" applyFill="1" applyBorder="1" applyAlignment="1" applyProtection="1">
      <alignment horizontal="left" vertical="center" wrapText="1"/>
    </xf>
    <xf numFmtId="0" fontId="31" fillId="0" borderId="4" xfId="0" applyFont="1" applyFill="1" applyBorder="1" applyAlignment="1" applyProtection="1">
      <alignment horizontal="left" vertical="center" wrapText="1"/>
    </xf>
    <xf numFmtId="169" fontId="31" fillId="0" borderId="0" xfId="0" applyNumberFormat="1" applyFont="1" applyFill="1" applyBorder="1" applyAlignment="1" applyProtection="1">
      <alignment horizontal="center" vertical="center" wrapText="1"/>
    </xf>
    <xf numFmtId="0" fontId="45" fillId="0" borderId="0" xfId="0" applyFont="1" applyFill="1" applyBorder="1" applyAlignment="1" applyProtection="1">
      <alignment horizontal="center" vertical="center"/>
    </xf>
    <xf numFmtId="0" fontId="45" fillId="0" borderId="0" xfId="0" applyFont="1" applyFill="1" applyBorder="1" applyAlignment="1" applyProtection="1">
      <alignment vertical="center"/>
    </xf>
    <xf numFmtId="0" fontId="31" fillId="0" borderId="0" xfId="0" applyFont="1" applyFill="1" applyBorder="1" applyAlignment="1" applyProtection="1">
      <alignment vertical="center"/>
    </xf>
    <xf numFmtId="17" fontId="27" fillId="0" borderId="0" xfId="0" applyNumberFormat="1" applyFont="1" applyFill="1" applyBorder="1" applyAlignment="1" applyProtection="1">
      <alignment horizontal="left" vertical="center"/>
    </xf>
    <xf numFmtId="0" fontId="31" fillId="0" borderId="0" xfId="0" applyFont="1" applyFill="1" applyBorder="1" applyAlignment="1" applyProtection="1">
      <alignment vertical="center" wrapText="1"/>
    </xf>
    <xf numFmtId="169" fontId="27" fillId="0" borderId="33" xfId="0" applyNumberFormat="1" applyFont="1" applyFill="1" applyBorder="1" applyAlignment="1" applyProtection="1">
      <alignment horizontal="left" vertical="center" wrapText="1"/>
    </xf>
    <xf numFmtId="169" fontId="27" fillId="0" borderId="21" xfId="0" applyNumberFormat="1" applyFont="1" applyFill="1" applyBorder="1" applyAlignment="1" applyProtection="1">
      <alignment horizontal="left" vertical="center" wrapText="1"/>
    </xf>
    <xf numFmtId="169" fontId="31" fillId="0" borderId="47" xfId="0" applyNumberFormat="1" applyFont="1" applyFill="1" applyBorder="1" applyAlignment="1" applyProtection="1">
      <alignment horizontal="left" vertical="center" wrapText="1"/>
    </xf>
    <xf numFmtId="0" fontId="45" fillId="0" borderId="0" xfId="0" applyFont="1" applyFill="1" applyBorder="1" applyAlignment="1" applyProtection="1">
      <alignment vertical="center" wrapText="1"/>
    </xf>
    <xf numFmtId="17" fontId="45" fillId="0" borderId="0" xfId="0" applyNumberFormat="1" applyFont="1" applyFill="1" applyBorder="1" applyAlignment="1" applyProtection="1">
      <alignment horizontal="left" vertical="center"/>
    </xf>
    <xf numFmtId="17" fontId="31" fillId="0" borderId="0" xfId="0" applyNumberFormat="1" applyFont="1" applyFill="1" applyBorder="1" applyAlignment="1" applyProtection="1">
      <alignment horizontal="left" vertical="center"/>
    </xf>
    <xf numFmtId="169" fontId="31" fillId="0" borderId="0" xfId="0" applyNumberFormat="1" applyFont="1" applyFill="1" applyBorder="1" applyAlignment="1" applyProtection="1">
      <alignment horizontal="left" vertical="center" wrapText="1"/>
    </xf>
    <xf numFmtId="0" fontId="31" fillId="0" borderId="5" xfId="0" applyFont="1" applyFill="1" applyBorder="1" applyAlignment="1"/>
    <xf numFmtId="0" fontId="31" fillId="0" borderId="30" xfId="0" applyFont="1" applyFill="1" applyBorder="1" applyAlignment="1"/>
    <xf numFmtId="0" fontId="31" fillId="0" borderId="29" xfId="0" applyFont="1" applyFill="1" applyBorder="1" applyAlignment="1">
      <alignment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17" fillId="12" borderId="32" xfId="0" applyFont="1" applyFill="1" applyBorder="1" applyAlignment="1" applyProtection="1">
      <alignment horizontal="left" vertical="center"/>
    </xf>
    <xf numFmtId="0" fontId="15" fillId="12" borderId="20" xfId="0" applyFont="1" applyFill="1" applyBorder="1" applyAlignment="1" applyProtection="1">
      <alignment horizontal="left" vertical="center"/>
    </xf>
    <xf numFmtId="15" fontId="15" fillId="12" borderId="20" xfId="0" applyNumberFormat="1" applyFont="1" applyFill="1" applyBorder="1" applyAlignment="1" applyProtection="1">
      <alignment horizontal="left" vertical="center"/>
    </xf>
    <xf numFmtId="0" fontId="15" fillId="12" borderId="20" xfId="0" applyFont="1" applyFill="1" applyBorder="1" applyAlignment="1" applyProtection="1">
      <alignment horizontal="left" vertical="center"/>
      <protection locked="0"/>
    </xf>
    <xf numFmtId="0" fontId="17" fillId="12" borderId="32" xfId="0" applyFont="1" applyFill="1" applyBorder="1" applyAlignment="1" applyProtection="1">
      <alignment horizontal="left" vertical="center" wrapText="1"/>
    </xf>
    <xf numFmtId="15" fontId="15" fillId="12" borderId="20" xfId="0" applyNumberFormat="1" applyFont="1" applyFill="1" applyBorder="1" applyAlignment="1" applyProtection="1">
      <alignment horizontal="left" vertical="center"/>
      <protection locked="0"/>
    </xf>
    <xf numFmtId="15" fontId="29" fillId="12" borderId="0" xfId="0" applyNumberFormat="1" applyFont="1" applyFill="1" applyAlignment="1" applyProtection="1">
      <alignment horizontal="left" vertical="center"/>
    </xf>
    <xf numFmtId="0" fontId="0" fillId="12" borderId="0" xfId="0" applyFill="1" applyProtection="1"/>
    <xf numFmtId="0" fontId="14" fillId="12" borderId="20" xfId="0" applyFont="1" applyFill="1" applyBorder="1" applyAlignment="1" applyProtection="1">
      <alignment horizontal="left"/>
      <protection locked="0"/>
    </xf>
    <xf numFmtId="0" fontId="15" fillId="12" borderId="20" xfId="0" applyNumberFormat="1" applyFont="1" applyFill="1" applyBorder="1" applyAlignment="1" applyProtection="1">
      <alignment horizontal="left"/>
      <protection locked="0"/>
    </xf>
    <xf numFmtId="0" fontId="14" fillId="12" borderId="20" xfId="0" applyNumberFormat="1" applyFont="1" applyFill="1" applyBorder="1" applyAlignment="1" applyProtection="1">
      <alignment horizontal="left"/>
    </xf>
    <xf numFmtId="175" fontId="15" fillId="12" borderId="20" xfId="0" applyNumberFormat="1" applyFont="1" applyFill="1" applyBorder="1" applyAlignment="1" applyProtection="1">
      <alignment horizontal="left"/>
      <protection locked="0"/>
    </xf>
    <xf numFmtId="175" fontId="14" fillId="12" borderId="20" xfId="0" applyNumberFormat="1" applyFont="1" applyFill="1" applyBorder="1" applyAlignment="1" applyProtection="1">
      <alignment horizontal="left"/>
      <protection locked="0"/>
    </xf>
    <xf numFmtId="0" fontId="15" fillId="0" borderId="39" xfId="0" applyFont="1" applyFill="1" applyBorder="1" applyAlignment="1" applyProtection="1">
      <alignment horizontal="right" vertical="center"/>
      <protection locked="0"/>
    </xf>
    <xf numFmtId="0" fontId="15" fillId="0" borderId="20" xfId="0" applyFont="1" applyFill="1" applyBorder="1" applyAlignment="1" applyProtection="1">
      <alignment horizontal="right" vertical="center"/>
      <protection locked="0"/>
    </xf>
    <xf numFmtId="168" fontId="27" fillId="0" borderId="39" xfId="0" applyNumberFormat="1" applyFont="1" applyFill="1" applyBorder="1" applyAlignment="1" applyProtection="1">
      <alignment horizontal="left" wrapText="1"/>
      <protection locked="0"/>
    </xf>
    <xf numFmtId="168" fontId="27" fillId="0" borderId="20" xfId="0" applyNumberFormat="1" applyFont="1" applyFill="1" applyBorder="1" applyAlignment="1" applyProtection="1">
      <alignment horizontal="left" wrapText="1"/>
      <protection locked="0"/>
    </xf>
    <xf numFmtId="0" fontId="15" fillId="0" borderId="39" xfId="0" applyFont="1" applyFill="1" applyBorder="1" applyAlignment="1" applyProtection="1">
      <alignment horizontal="left" vertical="center"/>
      <protection locked="0"/>
    </xf>
    <xf numFmtId="0" fontId="15" fillId="0" borderId="20" xfId="0" applyFont="1" applyFill="1" applyBorder="1" applyAlignment="1" applyProtection="1">
      <alignment horizontal="left" vertical="center"/>
      <protection locked="0"/>
    </xf>
    <xf numFmtId="0" fontId="14" fillId="8" borderId="7" xfId="0" applyFont="1" applyFill="1" applyBorder="1" applyAlignment="1" applyProtection="1">
      <alignment horizontal="left" vertical="center"/>
    </xf>
    <xf numFmtId="0" fontId="14" fillId="8" borderId="14" xfId="0" applyFont="1" applyFill="1" applyBorder="1" applyAlignment="1" applyProtection="1">
      <alignment horizontal="left" vertical="center"/>
    </xf>
    <xf numFmtId="168" fontId="15" fillId="0" borderId="39" xfId="0" applyNumberFormat="1" applyFont="1" applyFill="1" applyBorder="1" applyAlignment="1" applyProtection="1">
      <alignment horizontal="right"/>
      <protection locked="0"/>
    </xf>
    <xf numFmtId="168" fontId="15" fillId="0" borderId="20" xfId="0" applyNumberFormat="1" applyFont="1" applyFill="1" applyBorder="1" applyAlignment="1" applyProtection="1">
      <alignment horizontal="right"/>
      <protection locked="0"/>
    </xf>
    <xf numFmtId="0" fontId="15" fillId="0" borderId="39" xfId="0" applyFont="1" applyFill="1" applyBorder="1" applyAlignment="1" applyProtection="1">
      <alignment horizontal="left"/>
      <protection locked="0"/>
    </xf>
    <xf numFmtId="0" fontId="15" fillId="0" borderId="20" xfId="0" applyFont="1" applyFill="1" applyBorder="1" applyAlignment="1" applyProtection="1">
      <alignment horizontal="left"/>
      <protection locked="0"/>
    </xf>
    <xf numFmtId="168" fontId="15" fillId="0" borderId="39" xfId="0" applyNumberFormat="1" applyFont="1" applyFill="1" applyBorder="1" applyAlignment="1" applyProtection="1">
      <alignment horizontal="left" wrapText="1"/>
      <protection locked="0"/>
    </xf>
    <xf numFmtId="168" fontId="15" fillId="0" borderId="20" xfId="0" applyNumberFormat="1" applyFont="1" applyFill="1" applyBorder="1" applyAlignment="1" applyProtection="1">
      <alignment horizontal="left" wrapText="1"/>
      <protection locked="0"/>
    </xf>
    <xf numFmtId="171" fontId="15" fillId="0" borderId="39" xfId="0" applyNumberFormat="1" applyFont="1" applyFill="1" applyBorder="1" applyAlignment="1" applyProtection="1">
      <alignment horizontal="right"/>
      <protection locked="0"/>
    </xf>
    <xf numFmtId="171" fontId="15" fillId="0" borderId="20" xfId="0" applyNumberFormat="1" applyFont="1" applyFill="1" applyBorder="1" applyAlignment="1" applyProtection="1">
      <alignment horizontal="right"/>
      <protection locked="0"/>
    </xf>
    <xf numFmtId="0" fontId="31" fillId="3" borderId="34" xfId="0" applyFont="1" applyFill="1" applyBorder="1" applyAlignment="1">
      <alignment horizontal="center" vertical="center"/>
    </xf>
    <xf numFmtId="0" fontId="31" fillId="3" borderId="31" xfId="0" applyFont="1" applyFill="1" applyBorder="1" applyAlignment="1">
      <alignment horizontal="center" vertical="center"/>
    </xf>
    <xf numFmtId="0" fontId="31" fillId="3" borderId="35" xfId="0" applyFont="1" applyFill="1" applyBorder="1" applyAlignment="1">
      <alignment horizontal="center" vertical="center"/>
    </xf>
    <xf numFmtId="0" fontId="41" fillId="8" borderId="23" xfId="0" applyFont="1" applyFill="1" applyBorder="1" applyAlignment="1">
      <alignment horizontal="left" vertical="center" wrapText="1"/>
    </xf>
    <xf numFmtId="3" fontId="15" fillId="8" borderId="23" xfId="0" applyNumberFormat="1" applyFont="1" applyFill="1" applyBorder="1" applyAlignment="1">
      <alignment horizontal="left" vertical="center"/>
    </xf>
    <xf numFmtId="3" fontId="15" fillId="8" borderId="50" xfId="0" applyNumberFormat="1" applyFont="1" applyFill="1" applyBorder="1" applyAlignment="1">
      <alignment horizontal="left" vertical="center"/>
    </xf>
    <xf numFmtId="0" fontId="41" fillId="8" borderId="15" xfId="0" applyFont="1" applyFill="1" applyBorder="1" applyAlignment="1">
      <alignment horizontal="left" vertical="center" wrapText="1"/>
    </xf>
    <xf numFmtId="0" fontId="15" fillId="8" borderId="32" xfId="0" applyFont="1" applyFill="1" applyBorder="1" applyAlignment="1">
      <alignment horizontal="left" vertical="center" wrapText="1"/>
    </xf>
    <xf numFmtId="0" fontId="15" fillId="8" borderId="39" xfId="0" applyFont="1" applyFill="1" applyBorder="1" applyAlignment="1">
      <alignment horizontal="left" vertical="center" wrapText="1"/>
    </xf>
    <xf numFmtId="0" fontId="15" fillId="8" borderId="40" xfId="0" applyFont="1" applyFill="1" applyBorder="1" applyAlignment="1">
      <alignment horizontal="left" vertical="center" wrapText="1"/>
    </xf>
    <xf numFmtId="0" fontId="31" fillId="3" borderId="16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 vertical="center" wrapText="1"/>
    </xf>
    <xf numFmtId="0" fontId="42" fillId="7" borderId="1" xfId="0" applyFont="1" applyFill="1" applyBorder="1" applyAlignment="1">
      <alignment horizontal="center" vertical="center"/>
    </xf>
    <xf numFmtId="0" fontId="42" fillId="7" borderId="2" xfId="0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8" borderId="17" xfId="0" applyFont="1" applyFill="1" applyBorder="1" applyAlignment="1">
      <alignment horizontal="left" vertical="center"/>
    </xf>
    <xf numFmtId="0" fontId="15" fillId="8" borderId="15" xfId="0" applyFont="1" applyFill="1" applyBorder="1" applyAlignment="1">
      <alignment horizontal="left" vertical="center"/>
    </xf>
    <xf numFmtId="0" fontId="15" fillId="8" borderId="14" xfId="0" applyFont="1" applyFill="1" applyBorder="1" applyAlignment="1">
      <alignment horizontal="left" vertical="center"/>
    </xf>
    <xf numFmtId="0" fontId="31" fillId="3" borderId="6" xfId="0" applyFont="1" applyFill="1" applyBorder="1" applyAlignment="1">
      <alignment horizontal="center" vertical="center"/>
    </xf>
    <xf numFmtId="0" fontId="31" fillId="3" borderId="36" xfId="0" applyFont="1" applyFill="1" applyBorder="1" applyAlignment="1">
      <alignment horizontal="center" vertical="center"/>
    </xf>
    <xf numFmtId="0" fontId="31" fillId="3" borderId="37" xfId="0" applyFont="1" applyFill="1" applyBorder="1" applyAlignment="1">
      <alignment horizontal="center" vertical="center"/>
    </xf>
    <xf numFmtId="0" fontId="31" fillId="3" borderId="24" xfId="0" applyFont="1" applyFill="1" applyBorder="1" applyAlignment="1">
      <alignment horizontal="center" vertical="center"/>
    </xf>
    <xf numFmtId="0" fontId="31" fillId="3" borderId="46" xfId="0" applyFont="1" applyFill="1" applyBorder="1" applyAlignment="1">
      <alignment horizontal="center" vertical="center"/>
    </xf>
    <xf numFmtId="0" fontId="31" fillId="3" borderId="28" xfId="0" applyFont="1" applyFill="1" applyBorder="1" applyAlignment="1">
      <alignment horizontal="center" vertical="center"/>
    </xf>
    <xf numFmtId="0" fontId="31" fillId="3" borderId="45" xfId="0" applyFont="1" applyFill="1" applyBorder="1" applyAlignment="1">
      <alignment horizontal="center" vertical="center"/>
    </xf>
    <xf numFmtId="15" fontId="14" fillId="3" borderId="37" xfId="0" applyNumberFormat="1" applyFont="1" applyFill="1" applyBorder="1" applyAlignment="1">
      <alignment horizontal="center" vertical="center"/>
    </xf>
    <xf numFmtId="15" fontId="14" fillId="3" borderId="47" xfId="0" applyNumberFormat="1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31" fillId="3" borderId="25" xfId="0" applyFont="1" applyFill="1" applyBorder="1" applyAlignment="1">
      <alignment horizontal="center" vertical="center"/>
    </xf>
    <xf numFmtId="0" fontId="31" fillId="3" borderId="30" xfId="0" applyFont="1" applyFill="1" applyBorder="1" applyAlignment="1">
      <alignment horizontal="center" vertical="center"/>
    </xf>
    <xf numFmtId="0" fontId="43" fillId="0" borderId="0" xfId="0" applyFont="1" applyBorder="1" applyAlignment="1">
      <alignment horizontal="left" vertical="center"/>
    </xf>
    <xf numFmtId="15" fontId="15" fillId="8" borderId="15" xfId="0" applyNumberFormat="1" applyFont="1" applyFill="1" applyBorder="1" applyAlignment="1">
      <alignment horizontal="left" vertical="center"/>
    </xf>
    <xf numFmtId="0" fontId="15" fillId="8" borderId="21" xfId="0" applyFont="1" applyFill="1" applyBorder="1" applyAlignment="1">
      <alignment horizontal="left" vertical="center"/>
    </xf>
    <xf numFmtId="0" fontId="15" fillId="8" borderId="52" xfId="0" applyFont="1" applyFill="1" applyBorder="1" applyAlignment="1">
      <alignment horizontal="left" vertical="center"/>
    </xf>
    <xf numFmtId="0" fontId="44" fillId="0" borderId="24" xfId="0" applyFont="1" applyFill="1" applyBorder="1" applyAlignment="1">
      <alignment horizontal="center" vertical="center"/>
    </xf>
    <xf numFmtId="0" fontId="44" fillId="0" borderId="27" xfId="0" applyFont="1" applyFill="1" applyBorder="1" applyAlignment="1">
      <alignment horizontal="center" vertical="center"/>
    </xf>
    <xf numFmtId="0" fontId="44" fillId="0" borderId="25" xfId="0" applyFont="1" applyFill="1" applyBorder="1" applyAlignment="1">
      <alignment horizontal="center" vertical="center"/>
    </xf>
    <xf numFmtId="0" fontId="44" fillId="0" borderId="28" xfId="0" applyFont="1" applyFill="1" applyBorder="1" applyAlignment="1">
      <alignment horizontal="center" vertical="center"/>
    </xf>
    <xf numFmtId="0" fontId="44" fillId="0" borderId="29" xfId="0" applyFont="1" applyFill="1" applyBorder="1" applyAlignment="1">
      <alignment horizontal="center" vertical="center"/>
    </xf>
    <xf numFmtId="0" fontId="44" fillId="0" borderId="3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left" vertical="center"/>
    </xf>
    <xf numFmtId="0" fontId="45" fillId="0" borderId="31" xfId="0" applyFont="1" applyFill="1" applyBorder="1" applyAlignment="1" applyProtection="1">
      <alignment horizontal="left" vertical="center" wrapText="1"/>
    </xf>
    <xf numFmtId="0" fontId="45" fillId="0" borderId="35" xfId="0" applyFont="1" applyFill="1" applyBorder="1" applyAlignment="1" applyProtection="1">
      <alignment horizontal="left" vertical="center" wrapText="1"/>
    </xf>
    <xf numFmtId="0" fontId="27" fillId="0" borderId="14" xfId="0" applyFont="1" applyFill="1" applyBorder="1" applyAlignment="1" applyProtection="1">
      <alignment horizontal="center" vertical="center"/>
      <protection locked="0"/>
    </xf>
    <xf numFmtId="0" fontId="27" fillId="0" borderId="33" xfId="0" applyFont="1" applyFill="1" applyBorder="1" applyAlignment="1" applyProtection="1">
      <alignment horizontal="center" vertical="center"/>
      <protection locked="0"/>
    </xf>
    <xf numFmtId="0" fontId="45" fillId="0" borderId="54" xfId="0" applyFont="1" applyFill="1" applyBorder="1" applyAlignment="1" applyProtection="1">
      <alignment horizontal="center" vertical="center" wrapText="1"/>
    </xf>
    <xf numFmtId="0" fontId="45" fillId="0" borderId="3" xfId="0" applyFont="1" applyFill="1" applyBorder="1" applyAlignment="1" applyProtection="1">
      <alignment horizontal="center" vertical="center" wrapText="1"/>
    </xf>
    <xf numFmtId="15" fontId="27" fillId="0" borderId="5" xfId="0" applyNumberFormat="1" applyFont="1" applyFill="1" applyBorder="1" applyAlignment="1" applyProtection="1">
      <alignment horizontal="center" vertical="center" wrapText="1"/>
    </xf>
    <xf numFmtId="0" fontId="27" fillId="0" borderId="57" xfId="0" applyFont="1" applyFill="1" applyBorder="1" applyAlignment="1" applyProtection="1">
      <alignment horizontal="center" vertical="center" wrapText="1"/>
      <protection locked="0"/>
    </xf>
    <xf numFmtId="0" fontId="27" fillId="0" borderId="53" xfId="0" applyFont="1" applyFill="1" applyBorder="1" applyAlignment="1" applyProtection="1">
      <alignment horizontal="center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7" fillId="0" borderId="40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center" vertical="center" wrapText="1"/>
      <protection locked="0"/>
    </xf>
    <xf numFmtId="0" fontId="27" fillId="0" borderId="40" xfId="0" applyFont="1" applyFill="1" applyBorder="1" applyAlignment="1" applyProtection="1">
      <alignment horizontal="center" vertical="center" wrapText="1"/>
      <protection locked="0"/>
    </xf>
    <xf numFmtId="0" fontId="27" fillId="0" borderId="55" xfId="0" applyFont="1" applyFill="1" applyBorder="1" applyAlignment="1" applyProtection="1">
      <alignment horizontal="center" vertical="center" wrapText="1"/>
      <protection locked="0"/>
    </xf>
    <xf numFmtId="0" fontId="27" fillId="0" borderId="43" xfId="0" applyFont="1" applyFill="1" applyBorder="1" applyAlignment="1" applyProtection="1">
      <alignment horizontal="center" vertical="center" wrapText="1"/>
      <protection locked="0"/>
    </xf>
    <xf numFmtId="0" fontId="27" fillId="0" borderId="4" xfId="0" applyFont="1" applyFill="1" applyBorder="1" applyAlignment="1" applyProtection="1">
      <alignment horizontal="left" vertical="center" wrapText="1"/>
    </xf>
    <xf numFmtId="0" fontId="27" fillId="0" borderId="0" xfId="0" applyFont="1" applyFill="1" applyBorder="1" applyAlignment="1" applyProtection="1">
      <alignment horizontal="left" vertical="center" wrapText="1"/>
    </xf>
    <xf numFmtId="0" fontId="31" fillId="0" borderId="29" xfId="0" applyFont="1" applyFill="1" applyBorder="1" applyAlignment="1">
      <alignment horizontal="center" vertical="center"/>
    </xf>
    <xf numFmtId="0" fontId="27" fillId="0" borderId="32" xfId="0" applyFont="1" applyFill="1" applyBorder="1" applyAlignment="1" applyProtection="1">
      <alignment horizontal="center" vertical="center"/>
      <protection locked="0"/>
    </xf>
    <xf numFmtId="0" fontId="27" fillId="0" borderId="39" xfId="0" applyFont="1" applyFill="1" applyBorder="1" applyAlignment="1" applyProtection="1">
      <alignment horizontal="center" vertical="center"/>
      <protection locked="0"/>
    </xf>
    <xf numFmtId="0" fontId="27" fillId="0" borderId="40" xfId="0" applyFont="1" applyFill="1" applyBorder="1" applyAlignment="1" applyProtection="1">
      <alignment horizontal="center" vertical="center"/>
      <protection locked="0"/>
    </xf>
    <xf numFmtId="0" fontId="27" fillId="0" borderId="55" xfId="0" applyFont="1" applyFill="1" applyBorder="1" applyAlignment="1" applyProtection="1">
      <alignment horizontal="center" vertical="center"/>
      <protection locked="0"/>
    </xf>
    <xf numFmtId="0" fontId="27" fillId="0" borderId="42" xfId="0" applyFont="1" applyFill="1" applyBorder="1" applyAlignment="1" applyProtection="1">
      <alignment horizontal="center" vertical="center"/>
      <protection locked="0"/>
    </xf>
    <xf numFmtId="0" fontId="27" fillId="0" borderId="43" xfId="0" applyFont="1" applyFill="1" applyBorder="1" applyAlignment="1" applyProtection="1">
      <alignment horizontal="center" vertical="center"/>
      <protection locked="0"/>
    </xf>
    <xf numFmtId="0" fontId="31" fillId="0" borderId="0" xfId="0" applyFont="1" applyFill="1" applyBorder="1" applyAlignment="1">
      <alignment horizontal="center" vertical="center"/>
    </xf>
    <xf numFmtId="0" fontId="33" fillId="12" borderId="15" xfId="986" applyFont="1" applyFill="1" applyBorder="1" applyAlignment="1" applyProtection="1">
      <alignment horizontal="center" vertical="center" wrapText="1"/>
    </xf>
    <xf numFmtId="0" fontId="15" fillId="0" borderId="39" xfId="0" applyFont="1" applyFill="1" applyBorder="1" applyAlignment="1" applyProtection="1">
      <alignment horizontal="center" vertical="center"/>
      <protection locked="0"/>
    </xf>
    <xf numFmtId="0" fontId="15" fillId="0" borderId="20" xfId="0" applyFont="1" applyFill="1" applyBorder="1" applyAlignment="1" applyProtection="1">
      <alignment horizontal="center" vertical="center"/>
      <protection locked="0"/>
    </xf>
    <xf numFmtId="0" fontId="15" fillId="5" borderId="39" xfId="0" applyFont="1" applyFill="1" applyBorder="1" applyAlignment="1" applyProtection="1">
      <alignment horizontal="center" vertical="center"/>
    </xf>
    <xf numFmtId="0" fontId="15" fillId="5" borderId="20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  <protection locked="0"/>
    </xf>
    <xf numFmtId="0" fontId="15" fillId="0" borderId="8" xfId="0" applyFont="1" applyFill="1" applyBorder="1" applyAlignment="1" applyProtection="1">
      <alignment horizontal="center" vertical="center"/>
      <protection locked="0"/>
    </xf>
    <xf numFmtId="15" fontId="15" fillId="0" borderId="9" xfId="0" applyNumberFormat="1" applyFont="1" applyFill="1" applyBorder="1" applyAlignment="1" applyProtection="1">
      <alignment horizontal="center" vertical="center"/>
      <protection locked="0"/>
    </xf>
    <xf numFmtId="15" fontId="15" fillId="0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0" fillId="3" borderId="24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46" xfId="0" applyFont="1" applyFill="1" applyBorder="1" applyAlignment="1">
      <alignment horizontal="left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45" xfId="0" applyFont="1" applyFill="1" applyBorder="1" applyAlignment="1">
      <alignment horizontal="left" vertical="center"/>
    </xf>
    <xf numFmtId="15" fontId="0" fillId="3" borderId="38" xfId="0" applyNumberFormat="1" applyFill="1" applyBorder="1" applyAlignment="1">
      <alignment horizontal="center" vertical="center"/>
    </xf>
    <xf numFmtId="15" fontId="0" fillId="3" borderId="25" xfId="0" applyNumberFormat="1" applyFill="1" applyBorder="1" applyAlignment="1">
      <alignment horizontal="center" vertical="center"/>
    </xf>
    <xf numFmtId="15" fontId="0" fillId="3" borderId="44" xfId="0" applyNumberFormat="1" applyFill="1" applyBorder="1" applyAlignment="1">
      <alignment horizontal="center" vertical="center"/>
    </xf>
    <xf numFmtId="15" fontId="0" fillId="3" borderId="30" xfId="0" applyNumberForma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left" vertical="center"/>
    </xf>
    <xf numFmtId="0" fontId="10" fillId="3" borderId="42" xfId="0" applyFont="1" applyFill="1" applyBorder="1" applyAlignment="1">
      <alignment horizontal="left" vertical="center"/>
    </xf>
    <xf numFmtId="0" fontId="0" fillId="3" borderId="41" xfId="0" applyNumberFormat="1" applyFill="1" applyBorder="1" applyAlignment="1">
      <alignment horizontal="center" vertical="center"/>
    </xf>
    <xf numFmtId="0" fontId="0" fillId="3" borderId="42" xfId="0" applyNumberFormat="1" applyFill="1" applyBorder="1" applyAlignment="1">
      <alignment horizontal="center" vertical="center"/>
    </xf>
    <xf numFmtId="0" fontId="0" fillId="3" borderId="43" xfId="0" applyNumberFormat="1" applyFill="1" applyBorder="1" applyAlignment="1">
      <alignment horizontal="center" vertical="center"/>
    </xf>
    <xf numFmtId="0" fontId="0" fillId="17" borderId="0" xfId="0" applyFill="1" applyProtection="1"/>
    <xf numFmtId="0" fontId="31" fillId="17" borderId="15" xfId="0" applyFont="1" applyFill="1" applyBorder="1" applyAlignment="1" applyProtection="1">
      <alignment horizontal="left" vertical="center"/>
    </xf>
    <xf numFmtId="0" fontId="31" fillId="17" borderId="15" xfId="0" applyFont="1" applyFill="1" applyBorder="1" applyAlignment="1" applyProtection="1">
      <alignment horizontal="left" vertical="center" wrapText="1"/>
    </xf>
    <xf numFmtId="15" fontId="31" fillId="0" borderId="15" xfId="0" applyNumberFormat="1" applyFont="1" applyFill="1" applyBorder="1" applyAlignment="1" applyProtection="1">
      <alignment horizontal="left" vertical="center" wrapText="1"/>
    </xf>
    <xf numFmtId="0" fontId="31" fillId="0" borderId="15" xfId="0" applyFont="1" applyFill="1" applyBorder="1" applyAlignment="1" applyProtection="1">
      <alignment horizontal="left" vertical="center"/>
    </xf>
  </cellXfs>
  <cellStyles count="987">
    <cellStyle name="_Capacity Expansion Plan for Valacyclovir (GSK) Rev 0" xfId="6"/>
    <cellStyle name="_CFLU7 BPR060707" xfId="7"/>
    <cellStyle name="_CFLU7 BPR060707_~6590636" xfId="8"/>
    <cellStyle name="_CFLU7 BPR060707_~6590636_High Volume PEIF Template" xfId="9"/>
    <cellStyle name="_CFLU7 BPR060707_~6590636_PEIF_CLP_500 Kg &amp; 1600 Kg draft" xfId="10"/>
    <cellStyle name="_CFLU7 BPR060707_~6590636_Sorbent Therapeutics_CLP_1600 Kg_Draft" xfId="11"/>
    <cellStyle name="_CFLU7 BPR060707_~6590636_Sorbent Therapeutics_CLP_500 Kg_Draft" xfId="12"/>
    <cellStyle name="_CFLU7 BPR060707_Atorvastatin_Costing _ Scenario3_ Validation_scale_1 09 08" xfId="13"/>
    <cellStyle name="_CFLU7 BPR060707_Atorvastatin_Costing _ Scenario3_ Validation_scale_1 09 08_High Volume PEIF Template" xfId="14"/>
    <cellStyle name="_CFLU7 BPR060707_Atorvastatin_Costing _ Scenario3_ Validation_scale_1 09 08_PEIF_CLP_500 Kg &amp; 1600 Kg draft" xfId="15"/>
    <cellStyle name="_CFLU7 BPR060707_Atorvastatin_Costing _ Scenario3_ Validation_scale_1 09 08_Sorbent Therapeutics_CLP_1600 Kg_Draft" xfId="16"/>
    <cellStyle name="_CFLU7 BPR060707_Atorvastatin_Costing _ Scenario3_ Validation_scale_1 09 08_Sorbent Therapeutics_CLP_500 Kg_Draft" xfId="17"/>
    <cellStyle name="_CFLU7 BPR060707_Batch Plan for All Stages" xfId="18"/>
    <cellStyle name="_CFLU7 BPR060707_Batch Plan for All Stages_High Volume PEIF Template" xfId="19"/>
    <cellStyle name="_CFLU7 BPR060707_Clodronic acid (Product Costing) rev0" xfId="20"/>
    <cellStyle name="_CFLU7 BPR060707_Clodronic acid (Product Costing) rev0_High Volume PEIF Template" xfId="21"/>
    <cellStyle name="_CFLU7 BPR060707_Clodronic acid_ Validation campaign" xfId="22"/>
    <cellStyle name="_CFLU7 BPR060707_Clopi-Utility cost-rev0" xfId="23"/>
    <cellStyle name="_CFLU7 BPR060707_Clopi-Utility cost-rev0_~5198021" xfId="24"/>
    <cellStyle name="_CFLU7 BPR060707_Clopi-Utility cost-rev0_Chiral benzylamine cost sheet" xfId="25"/>
    <cellStyle name="_CFLU7 BPR060707_Clopi-Utility cost-rev0_Cyclohexanone dimethyl acetal-PEIF" xfId="26"/>
    <cellStyle name="_CFLU7 BPR060707_Clopi-Utility cost-rev0_First_Cut J&amp;J (TMC207) (081009)" xfId="27"/>
    <cellStyle name="_CFLU7 BPR060707_Clopi-Utility cost-rev0_First_Cut_Urapidil (010709)" xfId="28"/>
    <cellStyle name="_CFLU7 BPR060707_Clopi-Utility cost-rev0_Hamari-PEIF" xfId="29"/>
    <cellStyle name="_CFLU7 BPR060707_Clopi-Utility cost-rev0_Hamari-PEIF-Vinod" xfId="30"/>
    <cellStyle name="_CFLU7 BPR060707_Clopi-Utility cost-rev0_modified RMC for CPA(HAMARI CHEMICALS)-with recoveries-17032011" xfId="31"/>
    <cellStyle name="_CFLU7 BPR060707_Clopi-Utility cost-rev0_PEIF _(1R,4S)-cis-4-acetoxy-2-cyclopenten-1-ol for third party" xfId="32"/>
    <cellStyle name="_CFLU7 BPR060707_Clopi-Utility cost-rev0_PEIF _(1R,4S)-cis-4-acetoxy-2-cyclopenten-1-ol for third party_Draft First_Cut Eflornothine (SA) 22.12.09" xfId="33"/>
    <cellStyle name="_CFLU7 BPR060707_Clopi-Utility cost-rev0_PEIF _(1R,4S)-cis-4-acetoxy-2-cyclopenten-1-ol for third party_TAG REPORT FOR SULINDAC" xfId="34"/>
    <cellStyle name="_CFLU7 BPR060707_Clopi-Utility cost-rev0_PEIF 18.12.09 (Rev01)" xfId="35"/>
    <cellStyle name="_CFLU7 BPR060707_Clopi-Utility cost-rev0_PEIF of PHX2160 (1000 Kgs) 29.09.2009" xfId="36"/>
    <cellStyle name="_CFLU7 BPR060707_Clopi-Utility cost-rev0_PEIF_CLP_500 Kg &amp; 1600 Kg draft" xfId="37"/>
    <cellStyle name="_CFLU7 BPR060707_Clopi-Utility cost-rev0_PEIF-CPA-Hamari chemicals" xfId="38"/>
    <cellStyle name="_CFLU7 BPR060707_Clopi-Utility cost-rev0_PHX2160 _ Back up files" xfId="39"/>
    <cellStyle name="_CFLU7 BPR060707_Clopi-Utility cost-rev0_Product Costing-Rev00" xfId="40"/>
    <cellStyle name="_CFLU7 BPR060707_Clopi-Utility cost-rev0_Sorbent Therapeutics_CLP_1600 Kg_Draft" xfId="41"/>
    <cellStyle name="_CFLU7 BPR060707_Clopi-Utility cost-rev0_Sorbent Therapeutics_CLP_500 Kg_Draft" xfId="42"/>
    <cellStyle name="_CFLU7 BPR060707_Clopi-Utility cost-rev0_SYnthon A &amp; B PEIF" xfId="43"/>
    <cellStyle name="_CFLU7 BPR060707_Clopi-Utility cost-rev0_SYnthon A-50 MT- possible" xfId="44"/>
    <cellStyle name="_CFLU7 BPR060707_Clopi-Utility cost-rev0_TAG REPORT FOR TICAGRELOR...." xfId="45"/>
    <cellStyle name="_CFLU7 BPR060707_Clopi-Utility cost-rev0_TAG REPORT FOR TICAGRELOR...._Draft First_Cut Eflornothine (SA) 22.12.09" xfId="46"/>
    <cellStyle name="_CFLU7 BPR060707_Clopi-Utility cost-rev0_TAG REPORT FOR TICAGRELOR...._TAG REPORT FOR SULINDAC" xfId="47"/>
    <cellStyle name="_CFLU7 BPR060707_Clopi-Utility cost-rev0_TAG Report-Synthon A &amp; B" xfId="48"/>
    <cellStyle name="_CFLU7 BPR060707_CLP (Product Costing) Rev-2  as two stage in clean room" xfId="49"/>
    <cellStyle name="_CFLU7 BPR060707_Cost &amp; Timelines for NXL104 15 MT Rev 2" xfId="50"/>
    <cellStyle name="_CFLU7 BPR060707_Cost &amp; Timelines for NXL104 15 MT Rev 2_High Volume PEIF Template" xfId="51"/>
    <cellStyle name="_CFLU7 BPR060707_Costs &amp; timelines" xfId="52"/>
    <cellStyle name="_CFLU7 BPR060707_Costs &amp; timelines_High Volume PEIF Template" xfId="53"/>
    <cellStyle name="_CFLU7 BPR060707_Costs &amp; timelines_PEIF_CLP_500 Kg &amp; 1600 Kg draft" xfId="54"/>
    <cellStyle name="_CFLU7 BPR060707_Costs &amp; timelines_Sorbent Therapeutics_CLP_1600 Kg_Draft" xfId="55"/>
    <cellStyle name="_CFLU7 BPR060707_Costs &amp; timelines_Sorbent Therapeutics_CLP_500 Kg_Draft" xfId="56"/>
    <cellStyle name="_CFLU7 BPR060707_Costsheet  GSK-62" xfId="57"/>
    <cellStyle name="_CFLU7 BPR060707_CR2017 (Prodn Planning) Rev 6 optimistic 15 MT lots" xfId="58"/>
    <cellStyle name="_CFLU7 BPR060707_CR2017 (Prodn Planning) Rev 6 optimistic 15 MT lots_Cyclohexanone dimethyl acetal-PEIF" xfId="59"/>
    <cellStyle name="_CFLU7 BPR060707_CR2017 (Prodn Planning) Rev 6 optimistic 15 MT lots_High Volume PEIF Template" xfId="60"/>
    <cellStyle name="_CFLU7 BPR060707_CR2017 (Prodn Planning) Rev 6 optimistic 15 MT lots_modified RMC for CPA(HAMARI CHEMICALS)-with recoveries-17032011" xfId="61"/>
    <cellStyle name="_CFLU7 BPR060707_CR2017 (Prodn Planning) Rev 6 optimistic 15 MT lots_NXL-104 OO - 1,5,20,50,75,100 MT - 15.06.2011 - 20.06.2011" xfId="62"/>
    <cellStyle name="_CFLU7 BPR060707_CR2017 (Prodn Planning) Rev 6 optimistic 15 MT lots_PEIF of PHX2160 (1000 Kgs) 29.09.2009" xfId="63"/>
    <cellStyle name="_CFLU7 BPR060707_CR2017 (Prodn Planning) Rev 6 optimistic 15 MT lots_PEIF-CPA-Hamari chemicals" xfId="64"/>
    <cellStyle name="_CFLU7 BPR060707_CR2017 (Prodn Planning) Rev 6 optimistic 15 MT lots_PHX2160 _ Back up files" xfId="65"/>
    <cellStyle name="_CFLU7 BPR060707_CR2017 (Prodn Planning) Rev 6 optimistic 15 MT lots_Product Costing-Rev00" xfId="66"/>
    <cellStyle name="_CFLU7 BPR060707_Cyclohexanone dimethyl acetal-PEIF" xfId="67"/>
    <cellStyle name="_CFLU7 BPR060707_Etiracetam (Product Costing) Rev 0 (India)" xfId="68"/>
    <cellStyle name="_CFLU7 BPR060707_Etiracetam (Product Costing) Rev 0 (India)_~5198021" xfId="69"/>
    <cellStyle name="_CFLU7 BPR060707_Etiracetam (Product Costing) Rev 0 (India)_~6899541" xfId="70"/>
    <cellStyle name="_CFLU7 BPR060707_Etiracetam (Product Costing) Rev 0 (India)_~6899541_PEIF 18.12.09 (Rev01)" xfId="71"/>
    <cellStyle name="_CFLU7 BPR060707_Etiracetam (Product Costing) Rev 0 (India)_Batch Plan" xfId="72"/>
    <cellStyle name="_CFLU7 BPR060707_Etiracetam (Product Costing) Rev 0 (India)_Batch Plan_~5198021" xfId="73"/>
    <cellStyle name="_CFLU7 BPR060707_Etiracetam (Product Costing) Rev 0 (India)_Batch Plan_First_Cut J&amp;J (TMC207) (081009)" xfId="74"/>
    <cellStyle name="_CFLU7 BPR060707_Etiracetam (Product Costing) Rev 0 (India)_Batch Plan_First_Cut_Urapidil (010709)" xfId="75"/>
    <cellStyle name="_CFLU7 BPR060707_Etiracetam (Product Costing) Rev 0 (India)_Batch Plan_PEIF _(1R,4S)-cis-4-acetoxy-2-cyclopenten-1-ol for third party" xfId="76"/>
    <cellStyle name="_CFLU7 BPR060707_Etiracetam (Product Costing) Rev 0 (India)_Batch Plan_PEIF _(1R,4S)-cis-4-acetoxy-2-cyclopenten-1-ol for third party_Draft First_Cut Eflornothine (SA) 22.12.09" xfId="77"/>
    <cellStyle name="_CFLU7 BPR060707_Etiracetam (Product Costing) Rev 0 (India)_Batch Plan_PEIF _(1R,4S)-cis-4-acetoxy-2-cyclopenten-1-ol for third party_TAG REPORT FOR SULINDAC" xfId="78"/>
    <cellStyle name="_CFLU7 BPR060707_Etiracetam (Product Costing) Rev 0 (India)_Batch Plan_PEIF 18.12.09 (Rev01)" xfId="79"/>
    <cellStyle name="_CFLU7 BPR060707_Etiracetam (Product Costing) Rev 0 (India)_Batch Plan_PEIF for Third Party costing" xfId="80"/>
    <cellStyle name="_CFLU7 BPR060707_Etiracetam (Product Costing) Rev 0 (India)_Batch Plan_PEIF for Third Party costing_Draft First_Cut Eflornothine (SA) 22.12.09" xfId="81"/>
    <cellStyle name="_CFLU7 BPR060707_Etiracetam (Product Costing) Rev 0 (India)_Batch Plan_PEIF for Third Party costing_TAG REPORT FOR SULINDAC" xfId="82"/>
    <cellStyle name="_CFLU7 BPR060707_Etiracetam (Product Costing) Rev 0 (India)_Batch Plan_SYnthon A &amp; B PEIF" xfId="83"/>
    <cellStyle name="_CFLU7 BPR060707_Etiracetam (Product Costing) Rev 0 (India)_Batch Plan_SYnthon A-50 MT- possible" xfId="84"/>
    <cellStyle name="_CFLU7 BPR060707_Etiracetam (Product Costing) Rev 0 (India)_Batch Plan_TAG REPORT FOR TICAGRELOR...." xfId="85"/>
    <cellStyle name="_CFLU7 BPR060707_Etiracetam (Product Costing) Rev 0 (India)_Batch Plan_TAG REPORT FOR TICAGRELOR...._Draft First_Cut Eflornothine (SA) 22.12.09" xfId="86"/>
    <cellStyle name="_CFLU7 BPR060707_Etiracetam (Product Costing) Rev 0 (India)_Batch Plan_TAG REPORT FOR TICAGRELOR...._TAG REPORT FOR SULINDAC" xfId="87"/>
    <cellStyle name="_CFLU7 BPR060707_Etiracetam (Product Costing) Rev 0 (India)_Batch Plan_TAG Report-Synthon A &amp; B" xfId="88"/>
    <cellStyle name="_CFLU7 BPR060707_Etiracetam (Product Costing) Rev 0 (India)_Chiral benzylamine- 4th June'09_RMC" xfId="89"/>
    <cellStyle name="_CFLU7 BPR060707_Etiracetam (Product Costing) Rev 0 (India)_Chiral benzylamine- 4th June'09_RMC_High Volume PEIF Template" xfId="90"/>
    <cellStyle name="_CFLU7 BPR060707_Etiracetam (Product Costing) Rev 0 (India)_Chiral benzylamine cost sheet" xfId="91"/>
    <cellStyle name="_CFLU7 BPR060707_Etiracetam (Product Costing) Rev 0 (India)_Cyclohexanone dimethyl acetal-PEIF" xfId="92"/>
    <cellStyle name="_CFLU7 BPR060707_Etiracetam (Product Costing) Rev 0 (India)_First Cut for Commercial NKTR-102 (14.10.09)" xfId="93"/>
    <cellStyle name="_CFLU7 BPR060707_Etiracetam (Product Costing) Rev 0 (India)_First_Cut J&amp;J (TMC207) (081009)" xfId="94"/>
    <cellStyle name="_CFLU7 BPR060707_Etiracetam (Product Costing) Rev 0 (India)_First_Cut_Urapidil (010709)" xfId="95"/>
    <cellStyle name="_CFLU7 BPR060707_Etiracetam (Product Costing) Rev 0 (India)_modified RMC for CPA(HAMARI CHEMICALS)-with recoveries-17032011" xfId="96"/>
    <cellStyle name="_CFLU7 BPR060707_Etiracetam (Product Costing) Rev 0 (India)_NXL-104 OO - 1,5,20,50,75,100 MT - 15.06.2011 - 20.06.2011" xfId="97"/>
    <cellStyle name="_CFLU7 BPR060707_Etiracetam (Product Costing) Rev 0 (India)_PEIF _(1R,4S)-cis-4-acetoxy-2-cyclopenten-1-ol for third party" xfId="98"/>
    <cellStyle name="_CFLU7 BPR060707_Etiracetam (Product Costing) Rev 0 (India)_PEIF _(1R,4S)-cis-4-acetoxy-2-cyclopenten-1-ol for third party_Draft First_Cut Eflornothine (SA) 22.12.09" xfId="99"/>
    <cellStyle name="_CFLU7 BPR060707_Etiracetam (Product Costing) Rev 0 (India)_PEIF _(1R,4S)-cis-4-acetoxy-2-cyclopenten-1-ol for third party_TAG REPORT FOR SULINDAC" xfId="100"/>
    <cellStyle name="_CFLU7 BPR060707_Etiracetam (Product Costing) Rev 0 (India)_PEIF 18.12.09 (Rev01)" xfId="101"/>
    <cellStyle name="_CFLU7 BPR060707_Etiracetam (Product Costing) Rev 0 (India)_PEIF for costing_Rev00....." xfId="102"/>
    <cellStyle name="_CFLU7 BPR060707_Etiracetam (Product Costing) Rev 0 (India)_PEIF for costing_Rev00....._~5198021" xfId="103"/>
    <cellStyle name="_CFLU7 BPR060707_Etiracetam (Product Costing) Rev 0 (India)_PEIF for costing_Rev00....._Chiral benzylamine cost sheet" xfId="104"/>
    <cellStyle name="_CFLU7 BPR060707_Etiracetam (Product Costing) Rev 0 (India)_PEIF for costing_Rev00....._Cyclohexanone dimethyl acetal-PEIF" xfId="105"/>
    <cellStyle name="_CFLU7 BPR060707_Etiracetam (Product Costing) Rev 0 (India)_PEIF for costing_Rev00....._First_Cut J&amp;J (TMC207) (081009)" xfId="106"/>
    <cellStyle name="_CFLU7 BPR060707_Etiracetam (Product Costing) Rev 0 (India)_PEIF for costing_Rev00....._First_Cut_Urapidil (010709)" xfId="107"/>
    <cellStyle name="_CFLU7 BPR060707_Etiracetam (Product Costing) Rev 0 (India)_PEIF for costing_Rev00....._modified RMC for CPA(HAMARI CHEMICALS)-with recoveries-17032011" xfId="108"/>
    <cellStyle name="_CFLU7 BPR060707_Etiracetam (Product Costing) Rev 0 (India)_PEIF for costing_Rev00....._NXL-104 OO - 1,5,20,50,75,100 MT - 15.06.2011 - 20.06.2011" xfId="109"/>
    <cellStyle name="_CFLU7 BPR060707_Etiracetam (Product Costing) Rev 0 (India)_PEIF for costing_Rev00....._PEIF _(1R,4S)-cis-4-acetoxy-2-cyclopenten-1-ol for third party" xfId="110"/>
    <cellStyle name="_CFLU7 BPR060707_Etiracetam (Product Costing) Rev 0 (India)_PEIF for costing_Rev00....._PEIF _(1R,4S)-cis-4-acetoxy-2-cyclopenten-1-ol for third party_Draft First_Cut Eflornothine (SA) 22.12.09" xfId="111"/>
    <cellStyle name="_CFLU7 BPR060707_Etiracetam (Product Costing) Rev 0 (India)_PEIF for costing_Rev00....._PEIF _(1R,4S)-cis-4-acetoxy-2-cyclopenten-1-ol for third party_TAG REPORT FOR SULINDAC" xfId="112"/>
    <cellStyle name="_CFLU7 BPR060707_Etiracetam (Product Costing) Rev 0 (India)_PEIF for costing_Rev00....._PEIF 18.12.09 (Rev01)" xfId="113"/>
    <cellStyle name="_CFLU7 BPR060707_Etiracetam (Product Costing) Rev 0 (India)_PEIF for costing_Rev00....._PEIF of PHX2160 (1000 Kgs) 29.09.2009" xfId="114"/>
    <cellStyle name="_CFLU7 BPR060707_Etiracetam (Product Costing) Rev 0 (India)_PEIF for costing_Rev00....._PEIF-CPA-Hamari chemicals" xfId="115"/>
    <cellStyle name="_CFLU7 BPR060707_Etiracetam (Product Costing) Rev 0 (India)_PEIF for costing_Rev00....._PHX2160 _ Back up files" xfId="116"/>
    <cellStyle name="_CFLU7 BPR060707_Etiracetam (Product Costing) Rev 0 (India)_PEIF for costing_Rev00....._Product Costing-Rev00" xfId="117"/>
    <cellStyle name="_CFLU7 BPR060707_Etiracetam (Product Costing) Rev 0 (India)_PEIF for costing_Rev00....._SYnthon A &amp; B PEIF" xfId="118"/>
    <cellStyle name="_CFLU7 BPR060707_Etiracetam (Product Costing) Rev 0 (India)_PEIF for costing_Rev00....._SYnthon A-50 MT- possible" xfId="119"/>
    <cellStyle name="_CFLU7 BPR060707_Etiracetam (Product Costing) Rev 0 (India)_PEIF for costing_Rev00....._TAG REPORT FOR TICAGRELOR...." xfId="120"/>
    <cellStyle name="_CFLU7 BPR060707_Etiracetam (Product Costing) Rev 0 (India)_PEIF for costing_Rev00....._TAG REPORT FOR TICAGRELOR...._Draft First_Cut Eflornothine (SA) 22.12.09" xfId="121"/>
    <cellStyle name="_CFLU7 BPR060707_Etiracetam (Product Costing) Rev 0 (India)_PEIF for costing_Rev00....._TAG REPORT FOR TICAGRELOR...._TAG REPORT FOR SULINDAC" xfId="122"/>
    <cellStyle name="_CFLU7 BPR060707_Etiracetam (Product Costing) Rev 0 (India)_PEIF for costing_Rev00....._TAG Report-Synthon A &amp; B" xfId="123"/>
    <cellStyle name="_CFLU7 BPR060707_Etiracetam (Product Costing) Rev 0 (India)_PEIF for Third Party costing" xfId="124"/>
    <cellStyle name="_CFLU7 BPR060707_Etiracetam (Product Costing) Rev 0 (India)_PEIF for Third Party costing_Draft First_Cut Eflornothine (SA) 22.12.09" xfId="125"/>
    <cellStyle name="_CFLU7 BPR060707_Etiracetam (Product Costing) Rev 0 (India)_PEIF for Third Party costing_TAG REPORT FOR SULINDAC" xfId="126"/>
    <cellStyle name="_CFLU7 BPR060707_Etiracetam (Product Costing) Rev 0 (India)_PEIF of PHX2160 (1000 Kgs) 29.09.2009" xfId="127"/>
    <cellStyle name="_CFLU7 BPR060707_Etiracetam (Product Costing) Rev 0 (India)_PEIF-CPA-Hamari chemicals" xfId="128"/>
    <cellStyle name="_CFLU7 BPR060707_Etiracetam (Product Costing) Rev 0 (India)_PHX2160 _ Back up files" xfId="129"/>
    <cellStyle name="_CFLU7 BPR060707_Etiracetam (Product Costing) Rev 0 (India)_Product Costing-Rev00" xfId="130"/>
    <cellStyle name="_CFLU7 BPR060707_Etiracetam (Product Costing) Rev 0 (India)_Product Costing-Rev00_PEIF 18.12.09 (Rev01)" xfId="131"/>
    <cellStyle name="_CFLU7 BPR060707_Etiracetam (Product Costing) Rev 0 (India)_RM sheet and PEIF of Urapidil" xfId="132"/>
    <cellStyle name="_CFLU7 BPR060707_Etiracetam (Product Costing) Rev 0 (India)_RM sheet and PEIF of Urapidil_~5198021" xfId="133"/>
    <cellStyle name="_CFLU7 BPR060707_Etiracetam (Product Costing) Rev 0 (India)_RM sheet and PEIF of Urapidil_First_Cut J&amp;J (TMC207) (081009)" xfId="134"/>
    <cellStyle name="_CFLU7 BPR060707_Etiracetam (Product Costing) Rev 0 (India)_RM sheet and PEIF of Urapidil_First_Cut_Urapidil (010709)" xfId="135"/>
    <cellStyle name="_CFLU7 BPR060707_Etiracetam (Product Costing) Rev 0 (India)_RM sheet and PEIF of Urapidil_PEIF _(1R,4S)-cis-4-acetoxy-2-cyclopenten-1-ol for third party" xfId="136"/>
    <cellStyle name="_CFLU7 BPR060707_Etiracetam (Product Costing) Rev 0 (India)_RM sheet and PEIF of Urapidil_PEIF _(1R,4S)-cis-4-acetoxy-2-cyclopenten-1-ol for third party_Draft First_Cut Eflornothine (SA) 22.12.09" xfId="137"/>
    <cellStyle name="_CFLU7 BPR060707_Etiracetam (Product Costing) Rev 0 (India)_RM sheet and PEIF of Urapidil_PEIF _(1R,4S)-cis-4-acetoxy-2-cyclopenten-1-ol for third party_TAG REPORT FOR SULINDAC" xfId="138"/>
    <cellStyle name="_CFLU7 BPR060707_Etiracetam (Product Costing) Rev 0 (India)_RM sheet and PEIF of Urapidil_PEIF 18.12.09 (Rev01)" xfId="139"/>
    <cellStyle name="_CFLU7 BPR060707_Etiracetam (Product Costing) Rev 0 (India)_RM sheet and PEIF of Urapidil_PEIF for Third Party costing" xfId="140"/>
    <cellStyle name="_CFLU7 BPR060707_Etiracetam (Product Costing) Rev 0 (India)_RM sheet and PEIF of Urapidil_PEIF for Third Party costing_Draft First_Cut Eflornothine (SA) 22.12.09" xfId="141"/>
    <cellStyle name="_CFLU7 BPR060707_Etiracetam (Product Costing) Rev 0 (India)_RM sheet and PEIF of Urapidil_PEIF for Third Party costing_TAG REPORT FOR SULINDAC" xfId="142"/>
    <cellStyle name="_CFLU7 BPR060707_Etiracetam (Product Costing) Rev 0 (India)_RM sheet and PEIF of Urapidil_SYnthon A &amp; B PEIF" xfId="143"/>
    <cellStyle name="_CFLU7 BPR060707_Etiracetam (Product Costing) Rev 0 (India)_RM sheet and PEIF of Urapidil_SYnthon A-50 MT- possible" xfId="144"/>
    <cellStyle name="_CFLU7 BPR060707_Etiracetam (Product Costing) Rev 0 (India)_RM sheet and PEIF of Urapidil_TAG REPORT FOR TICAGRELOR...." xfId="145"/>
    <cellStyle name="_CFLU7 BPR060707_Etiracetam (Product Costing) Rev 0 (India)_RM sheet and PEIF of Urapidil_TAG REPORT FOR TICAGRELOR...._Draft First_Cut Eflornothine (SA) 22.12.09" xfId="146"/>
    <cellStyle name="_CFLU7 BPR060707_Etiracetam (Product Costing) Rev 0 (India)_RM sheet and PEIF of Urapidil_TAG REPORT FOR TICAGRELOR...._TAG REPORT FOR SULINDAC" xfId="147"/>
    <cellStyle name="_CFLU7 BPR060707_Etiracetam (Product Costing) Rev 0 (India)_RM sheet and PEIF of Urapidil_TAG Report-Synthon A &amp; B" xfId="148"/>
    <cellStyle name="_CFLU7 BPR060707_Etiracetam (Product Costing) Rev 0 (India)_SYnthon A &amp; B PEIF" xfId="149"/>
    <cellStyle name="_CFLU7 BPR060707_Etiracetam (Product Costing) Rev 0 (India)_SYnthon A-50 MT- possible" xfId="150"/>
    <cellStyle name="_CFLU7 BPR060707_Etiracetam (Product Costing) Rev 0 (India)_TAG REPORT FOR TICAGRELOR...." xfId="151"/>
    <cellStyle name="_CFLU7 BPR060707_Etiracetam (Product Costing) Rev 0 (India)_TAG REPORT FOR TICAGRELOR...._Draft First_Cut Eflornothine (SA) 22.12.09" xfId="152"/>
    <cellStyle name="_CFLU7 BPR060707_Etiracetam (Product Costing) Rev 0 (India)_TAG REPORT FOR TICAGRELOR...._TAG REPORT FOR SULINDAC" xfId="153"/>
    <cellStyle name="_CFLU7 BPR060707_Etiracetam (Product Costing) Rev 0 (India)_TAG Report-Synthon A &amp; B" xfId="154"/>
    <cellStyle name="_CFLU7 BPR060707_Hamari-PEIF" xfId="155"/>
    <cellStyle name="_CFLU7 BPR060707_Hamari-PEIF-Vinod" xfId="156"/>
    <cellStyle name="_CFLU7 BPR060707_Isoquinoline 0.5 MT" xfId="157"/>
    <cellStyle name="_CFLU7 BPR060707_Lactum -(Project Costing) Rev 0" xfId="158"/>
    <cellStyle name="_CFLU7 BPR060707_Lactum -(Project Costing) Rev 0_PEIF_CLP_500 Kg &amp; 1600 Kg draft" xfId="159"/>
    <cellStyle name="_CFLU7 BPR060707_Lactum-Utilitycalc'nt-Rev0" xfId="160"/>
    <cellStyle name="_CFLU7 BPR060707_Lactum-Utilitycalc'nt-Rev0_PEIF_CLP_500 Kg &amp; 1600 Kg draft" xfId="161"/>
    <cellStyle name="_CFLU7 BPR060707_Manufacturing of API at New Block Rev 1" xfId="162"/>
    <cellStyle name="_CFLU7 BPR060707_Manufacturing of API at New Block Rev 1_High Volume PEIF Template" xfId="163"/>
    <cellStyle name="_CFLU7 BPR060707_Marbo 130808" xfId="164"/>
    <cellStyle name="_CFLU7 BPR060707_Marbo 130808_~5198021" xfId="165"/>
    <cellStyle name="_CFLU7 BPR060707_Marbo 130808_Chiral benzylamine cost sheet" xfId="166"/>
    <cellStyle name="_CFLU7 BPR060707_Marbo 130808_Cyclohexanone dimethyl acetal-PEIF" xfId="167"/>
    <cellStyle name="_CFLU7 BPR060707_Marbo 130808_First_Cut J&amp;J (TMC207) (081009)" xfId="168"/>
    <cellStyle name="_CFLU7 BPR060707_Marbo 130808_First_Cut_Urapidil (010709)" xfId="169"/>
    <cellStyle name="_CFLU7 BPR060707_Marbo 130808_Hamari-PEIF" xfId="170"/>
    <cellStyle name="_CFLU7 BPR060707_Marbo 130808_Hamari-PEIF-Vinod" xfId="171"/>
    <cellStyle name="_CFLU7 BPR060707_Marbo 130808_modified RMC for CPA(HAMARI CHEMICALS)-with recoveries-17032011" xfId="172"/>
    <cellStyle name="_CFLU7 BPR060707_Marbo 130808_PEIF _(1R,4S)-cis-4-acetoxy-2-cyclopenten-1-ol for third party" xfId="173"/>
    <cellStyle name="_CFLU7 BPR060707_Marbo 130808_PEIF _(1R,4S)-cis-4-acetoxy-2-cyclopenten-1-ol for third party_Draft First_Cut Eflornothine (SA) 22.12.09" xfId="174"/>
    <cellStyle name="_CFLU7 BPR060707_Marbo 130808_PEIF _(1R,4S)-cis-4-acetoxy-2-cyclopenten-1-ol for third party_TAG REPORT FOR SULINDAC" xfId="175"/>
    <cellStyle name="_CFLU7 BPR060707_Marbo 130808_PEIF 18.12.09 (Rev01)" xfId="176"/>
    <cellStyle name="_CFLU7 BPR060707_Marbo 130808_PEIF of PHX2160 (1000 Kgs) 29.09.2009" xfId="177"/>
    <cellStyle name="_CFLU7 BPR060707_Marbo 130808_PEIF_CLP_500 Kg &amp; 1600 Kg draft" xfId="178"/>
    <cellStyle name="_CFLU7 BPR060707_Marbo 130808_PEIF-CPA-Hamari chemicals" xfId="179"/>
    <cellStyle name="_CFLU7 BPR060707_Marbo 130808_PHX2160 _ Back up files" xfId="180"/>
    <cellStyle name="_CFLU7 BPR060707_Marbo 130808_Product Costing-Rev00" xfId="181"/>
    <cellStyle name="_CFLU7 BPR060707_Marbo 130808_Sorbent Therapeutics_CLP_1600 Kg_Draft" xfId="182"/>
    <cellStyle name="_CFLU7 BPR060707_Marbo 130808_Sorbent Therapeutics_CLP_500 Kg_Draft" xfId="183"/>
    <cellStyle name="_CFLU7 BPR060707_Marbo 130808_SYnthon A &amp; B PEIF" xfId="184"/>
    <cellStyle name="_CFLU7 BPR060707_Marbo 130808_SYnthon A-50 MT- possible" xfId="185"/>
    <cellStyle name="_CFLU7 BPR060707_Marbo 130808_TAG REPORT FOR TICAGRELOR...." xfId="186"/>
    <cellStyle name="_CFLU7 BPR060707_Marbo 130808_TAG REPORT FOR TICAGRELOR...._Draft First_Cut Eflornothine (SA) 22.12.09" xfId="187"/>
    <cellStyle name="_CFLU7 BPR060707_Marbo 130808_TAG REPORT FOR TICAGRELOR...._TAG REPORT FOR SULINDAC" xfId="188"/>
    <cellStyle name="_CFLU7 BPR060707_Marbo 130808_TAG Report-Synthon A &amp; B" xfId="189"/>
    <cellStyle name="_CFLU7 BPR060707_Marbo PEIF with new process" xfId="190"/>
    <cellStyle name="_CFLU7 BPR060707_Marbo PEIF with new process_~5198021" xfId="191"/>
    <cellStyle name="_CFLU7 BPR060707_Marbo PEIF with new process_100Kgs PEIF 010609 KSM" xfId="192"/>
    <cellStyle name="_CFLU7 BPR060707_Marbo PEIF with new process_Chiral benzylamine cost sheet" xfId="193"/>
    <cellStyle name="_CFLU7 BPR060707_Marbo PEIF with new process_Chirotech (Ticagrilor intermediate)26.06.09" xfId="194"/>
    <cellStyle name="_CFLU7 BPR060707_Marbo PEIF with new process_Chirotech (Ticagrilor intermediate)26.06.09_High Volume PEIF Template" xfId="195"/>
    <cellStyle name="_CFLU7 BPR060707_Marbo PEIF with new process_Cyclohexanone dimethyl acetal-PEIF" xfId="196"/>
    <cellStyle name="_CFLU7 BPR060707_Marbo PEIF with new process_First_Cut J&amp;J (TMC207) (081009)" xfId="197"/>
    <cellStyle name="_CFLU7 BPR060707_Marbo PEIF with new process_First_Cut_Urapidil (010709)" xfId="198"/>
    <cellStyle name="_CFLU7 BPR060707_Marbo PEIF with new process_modified RMC for CPA(HAMARI CHEMICALS)-with recoveries-17032011" xfId="199"/>
    <cellStyle name="_CFLU7 BPR060707_Marbo PEIF with new process_NXL-104 OO - 1,5,20,50,75,100 MT - 15.06.2011 - 20.06.2011" xfId="200"/>
    <cellStyle name="_CFLU7 BPR060707_Marbo PEIF with new process_PEIF" xfId="201"/>
    <cellStyle name="_CFLU7 BPR060707_Marbo PEIF with new process_PEIF _(1R,4S)-cis-4-acetoxy-2-cyclopenten-1-ol for third party" xfId="202"/>
    <cellStyle name="_CFLU7 BPR060707_Marbo PEIF with new process_PEIF _(1R,4S)-cis-4-acetoxy-2-cyclopenten-1-ol for third party_Draft First_Cut Eflornothine (SA) 22.12.09" xfId="203"/>
    <cellStyle name="_CFLU7 BPR060707_Marbo PEIF with new process_PEIF _(1R,4S)-cis-4-acetoxy-2-cyclopenten-1-ol for third party_TAG REPORT FOR SULINDAC" xfId="204"/>
    <cellStyle name="_CFLU7 BPR060707_Marbo PEIF with new process_PEIF 18.12.09 (Rev01)" xfId="205"/>
    <cellStyle name="_CFLU7 BPR060707_Marbo PEIF with new process_PEIF for Third Party costing" xfId="206"/>
    <cellStyle name="_CFLU7 BPR060707_Marbo PEIF with new process_PEIF of PHX2160 (1000 Kgs) 29.09.2009" xfId="207"/>
    <cellStyle name="_CFLU7 BPR060707_Marbo PEIF with new process_PEIF_CLP_500 Kg &amp; 1600 Kg draft" xfId="208"/>
    <cellStyle name="_CFLU7 BPR060707_Marbo PEIF with new process_PEIF-CPA-Hamari chemicals" xfId="209"/>
    <cellStyle name="_CFLU7 BPR060707_Marbo PEIF with new process_PHX2160 _ Back up files" xfId="210"/>
    <cellStyle name="_CFLU7 BPR060707_Marbo PEIF with new process_Product Costing-Rev00" xfId="211"/>
    <cellStyle name="_CFLU7 BPR060707_Marbo PEIF with new process_Sorbent Therapeutics_CLP_1600 Kg_Draft" xfId="212"/>
    <cellStyle name="_CFLU7 BPR060707_Marbo PEIF with new process_Sorbent Therapeutics_CLP_500 Kg_Draft" xfId="213"/>
    <cellStyle name="_CFLU7 BPR060707_Marbo PEIF with new process_SYnthon A &amp; B PEIF" xfId="214"/>
    <cellStyle name="_CFLU7 BPR060707_Marbo PEIF with new process_SYnthon A-50 MT- possible" xfId="215"/>
    <cellStyle name="_CFLU7 BPR060707_Marbo PEIF with new process_TAG REPORT FOR TICAGRELOR...." xfId="216"/>
    <cellStyle name="_CFLU7 BPR060707_Marbo PEIF with new process_TAG REPORT FOR TICAGRELOR...._Draft First_Cut Eflornothine (SA) 22.12.09" xfId="217"/>
    <cellStyle name="_CFLU7 BPR060707_Marbo PEIF with new process_TAG REPORT FOR TICAGRELOR...._TAG REPORT FOR SULINDAC" xfId="218"/>
    <cellStyle name="_CFLU7 BPR060707_Marbo PEIF with new process_TAG Report-Synthon A &amp; B" xfId="219"/>
    <cellStyle name="_CFLU7 BPR060707_modified RMC for CPA(HAMARI CHEMICALS)-with recoveries-17032011" xfId="220"/>
    <cellStyle name="_CFLU7 BPR060707_Nateglinide Summary" xfId="221"/>
    <cellStyle name="_CFLU7 BPR060707_Nateglinide Summary_~5198021" xfId="222"/>
    <cellStyle name="_CFLU7 BPR060707_Nateglinide Summary_Chiral benzylamine cost sheet" xfId="223"/>
    <cellStyle name="_CFLU7 BPR060707_Nateglinide Summary_Cyclohexanone dimethyl acetal-PEIF" xfId="224"/>
    <cellStyle name="_CFLU7 BPR060707_Nateglinide Summary_First_Cut J&amp;J (TMC207) (081009)" xfId="225"/>
    <cellStyle name="_CFLU7 BPR060707_Nateglinide Summary_First_Cut_Urapidil (010709)" xfId="226"/>
    <cellStyle name="_CFLU7 BPR060707_Nateglinide Summary_Hamari-PEIF" xfId="227"/>
    <cellStyle name="_CFLU7 BPR060707_Nateglinide Summary_Hamari-PEIF-Vinod" xfId="228"/>
    <cellStyle name="_CFLU7 BPR060707_Nateglinide Summary_modified RMC for CPA(HAMARI CHEMICALS)-with recoveries-17032011" xfId="229"/>
    <cellStyle name="_CFLU7 BPR060707_Nateglinide Summary_PEIF _(1R,4S)-cis-4-acetoxy-2-cyclopenten-1-ol for third party" xfId="230"/>
    <cellStyle name="_CFLU7 BPR060707_Nateglinide Summary_PEIF _(1R,4S)-cis-4-acetoxy-2-cyclopenten-1-ol for third party_Draft First_Cut Eflornothine (SA) 22.12.09" xfId="231"/>
    <cellStyle name="_CFLU7 BPR060707_Nateglinide Summary_PEIF _(1R,4S)-cis-4-acetoxy-2-cyclopenten-1-ol for third party_TAG REPORT FOR SULINDAC" xfId="232"/>
    <cellStyle name="_CFLU7 BPR060707_Nateglinide Summary_PEIF 18.12.09 (Rev01)" xfId="233"/>
    <cellStyle name="_CFLU7 BPR060707_Nateglinide Summary_PEIF of PHX2160 (1000 Kgs) 29.09.2009" xfId="234"/>
    <cellStyle name="_CFLU7 BPR060707_Nateglinide Summary_PEIF-CPA-Hamari chemicals" xfId="235"/>
    <cellStyle name="_CFLU7 BPR060707_Nateglinide Summary_PHX2160 _ Back up files" xfId="236"/>
    <cellStyle name="_CFLU7 BPR060707_Nateglinide Summary_Product Costing-Rev00" xfId="237"/>
    <cellStyle name="_CFLU7 BPR060707_Nateglinide Summary_SYnthon A &amp; B PEIF" xfId="238"/>
    <cellStyle name="_CFLU7 BPR060707_Nateglinide Summary_SYnthon A-50 MT- possible" xfId="239"/>
    <cellStyle name="_CFLU7 BPR060707_Nateglinide Summary_TAG REPORT FOR TICAGRELOR...." xfId="240"/>
    <cellStyle name="_CFLU7 BPR060707_Nateglinide Summary_TAG REPORT FOR TICAGRELOR...._Draft First_Cut Eflornothine (SA) 22.12.09" xfId="241"/>
    <cellStyle name="_CFLU7 BPR060707_Nateglinide Summary_TAG REPORT FOR TICAGRELOR...._TAG REPORT FOR SULINDAC" xfId="242"/>
    <cellStyle name="_CFLU7 BPR060707_Nateglinide Summary_TAG Report-Synthon A &amp; B" xfId="243"/>
    <cellStyle name="_CFLU7 BPR060707_Nateglinide-(Project Costing) Rev 1" xfId="244"/>
    <cellStyle name="_CFLU7 BPR060707_PEIF of PHX2160 (1000 Kgs) 29.09.2009" xfId="245"/>
    <cellStyle name="_CFLU7 BPR060707_PEIF_CLP_500 Kg &amp; 1600 Kg draft" xfId="246"/>
    <cellStyle name="_CFLU7 BPR060707_PEIF_Rev00" xfId="247"/>
    <cellStyle name="_CFLU7 BPR060707_PEIF_Rev00_High Volume PEIF Template" xfId="248"/>
    <cellStyle name="_CFLU7 BPR060707_PEIF-CPA-Hamari chemicals" xfId="249"/>
    <cellStyle name="_CFLU7 BPR060707_Peramavir_Back up file" xfId="250"/>
    <cellStyle name="_CFLU7 BPR060707_Peramavir_Back up file_High Volume PEIF Template" xfId="251"/>
    <cellStyle name="_CFLU7 BPR060707_PFD_Etiracetam_29.04.09" xfId="252"/>
    <cellStyle name="_CFLU7 BPR060707_PFD_Etiracetam_29.04.09_~5198021" xfId="253"/>
    <cellStyle name="_CFLU7 BPR060707_PFD_Etiracetam_29.04.09_~6899541" xfId="254"/>
    <cellStyle name="_CFLU7 BPR060707_PFD_Etiracetam_29.04.09_~6899541_PEIF 18.12.09 (Rev01)" xfId="255"/>
    <cellStyle name="_CFLU7 BPR060707_PFD_Etiracetam_29.04.09_Chiral benzylamine cost sheet" xfId="256"/>
    <cellStyle name="_CFLU7 BPR060707_PFD_Etiracetam_29.04.09_Cyclohexanone dimethyl acetal-PEIF" xfId="257"/>
    <cellStyle name="_CFLU7 BPR060707_PFD_Etiracetam_29.04.09_First Cut for Commercial NKTR-102 (14.10.09)" xfId="258"/>
    <cellStyle name="_CFLU7 BPR060707_PFD_Etiracetam_29.04.09_First_Cut J&amp;J (TMC207) (081009)" xfId="259"/>
    <cellStyle name="_CFLU7 BPR060707_PFD_Etiracetam_29.04.09_First_Cut_Urapidil (010709)" xfId="260"/>
    <cellStyle name="_CFLU7 BPR060707_PFD_Etiracetam_29.04.09_modified RMC for CPA(HAMARI CHEMICALS)-with recoveries-17032011" xfId="261"/>
    <cellStyle name="_CFLU7 BPR060707_PFD_Etiracetam_29.04.09_NXL-104 OO - 1,5,20,50,75,100 MT - 15.06.2011 - 20.06.2011" xfId="262"/>
    <cellStyle name="_CFLU7 BPR060707_PFD_Etiracetam_29.04.09_PEIF _(1R,4S)-cis-4-acetoxy-2-cyclopenten-1-ol for third party" xfId="263"/>
    <cellStyle name="_CFLU7 BPR060707_PFD_Etiracetam_29.04.09_PEIF _(1R,4S)-cis-4-acetoxy-2-cyclopenten-1-ol for third party_Draft First_Cut Eflornothine (SA) 22.12.09" xfId="264"/>
    <cellStyle name="_CFLU7 BPR060707_PFD_Etiracetam_29.04.09_PEIF _(1R,4S)-cis-4-acetoxy-2-cyclopenten-1-ol for third party_TAG REPORT FOR SULINDAC" xfId="265"/>
    <cellStyle name="_CFLU7 BPR060707_PFD_Etiracetam_29.04.09_PEIF 18.12.09 (Rev01)" xfId="266"/>
    <cellStyle name="_CFLU7 BPR060707_PFD_Etiracetam_29.04.09_PEIF for costing_Rev00....." xfId="267"/>
    <cellStyle name="_CFLU7 BPR060707_PFD_Etiracetam_29.04.09_PEIF for costing_Rev00....._~5198021" xfId="268"/>
    <cellStyle name="_CFLU7 BPR060707_PFD_Etiracetam_29.04.09_PEIF for costing_Rev00....._Chiral benzylamine cost sheet" xfId="269"/>
    <cellStyle name="_CFLU7 BPR060707_PFD_Etiracetam_29.04.09_PEIF for costing_Rev00....._Cyclohexanone dimethyl acetal-PEIF" xfId="270"/>
    <cellStyle name="_CFLU7 BPR060707_PFD_Etiracetam_29.04.09_PEIF for costing_Rev00....._First_Cut J&amp;J (TMC207) (081009)" xfId="271"/>
    <cellStyle name="_CFLU7 BPR060707_PFD_Etiracetam_29.04.09_PEIF for costing_Rev00....._First_Cut_Urapidil (010709)" xfId="272"/>
    <cellStyle name="_CFLU7 BPR060707_PFD_Etiracetam_29.04.09_PEIF for costing_Rev00....._modified RMC for CPA(HAMARI CHEMICALS)-with recoveries-17032011" xfId="273"/>
    <cellStyle name="_CFLU7 BPR060707_PFD_Etiracetam_29.04.09_PEIF for costing_Rev00....._NXL-104 OO - 1,5,20,50,75,100 MT - 15.06.2011 - 20.06.2011" xfId="274"/>
    <cellStyle name="_CFLU7 BPR060707_PFD_Etiracetam_29.04.09_PEIF for costing_Rev00....._PEIF _(1R,4S)-cis-4-acetoxy-2-cyclopenten-1-ol for third party" xfId="275"/>
    <cellStyle name="_CFLU7 BPR060707_PFD_Etiracetam_29.04.09_PEIF for costing_Rev00....._PEIF _(1R,4S)-cis-4-acetoxy-2-cyclopenten-1-ol for third party_Draft First_Cut Eflornothine (SA) 22.12.09" xfId="276"/>
    <cellStyle name="_CFLU7 BPR060707_PFD_Etiracetam_29.04.09_PEIF for costing_Rev00....._PEIF _(1R,4S)-cis-4-acetoxy-2-cyclopenten-1-ol for third party_TAG REPORT FOR SULINDAC" xfId="277"/>
    <cellStyle name="_CFLU7 BPR060707_PFD_Etiracetam_29.04.09_PEIF for costing_Rev00....._PEIF 18.12.09 (Rev01)" xfId="278"/>
    <cellStyle name="_CFLU7 BPR060707_PFD_Etiracetam_29.04.09_PEIF for costing_Rev00....._PEIF of PHX2160 (1000 Kgs) 29.09.2009" xfId="279"/>
    <cellStyle name="_CFLU7 BPR060707_PFD_Etiracetam_29.04.09_PEIF for costing_Rev00....._PEIF-CPA-Hamari chemicals" xfId="280"/>
    <cellStyle name="_CFLU7 BPR060707_PFD_Etiracetam_29.04.09_PEIF for costing_Rev00....._PHX2160 _ Back up files" xfId="281"/>
    <cellStyle name="_CFLU7 BPR060707_PFD_Etiracetam_29.04.09_PEIF for costing_Rev00....._Product Costing-Rev00" xfId="282"/>
    <cellStyle name="_CFLU7 BPR060707_PFD_Etiracetam_29.04.09_PEIF for costing_Rev00....._SYnthon A &amp; B PEIF" xfId="283"/>
    <cellStyle name="_CFLU7 BPR060707_PFD_Etiracetam_29.04.09_PEIF for costing_Rev00....._SYnthon A-50 MT- possible" xfId="284"/>
    <cellStyle name="_CFLU7 BPR060707_PFD_Etiracetam_29.04.09_PEIF for costing_Rev00....._TAG REPORT FOR TICAGRELOR...." xfId="285"/>
    <cellStyle name="_CFLU7 BPR060707_PFD_Etiracetam_29.04.09_PEIF for costing_Rev00....._TAG REPORT FOR TICAGRELOR...._Draft First_Cut Eflornothine (SA) 22.12.09" xfId="286"/>
    <cellStyle name="_CFLU7 BPR060707_PFD_Etiracetam_29.04.09_PEIF for costing_Rev00....._TAG REPORT FOR TICAGRELOR...._TAG REPORT FOR SULINDAC" xfId="287"/>
    <cellStyle name="_CFLU7 BPR060707_PFD_Etiracetam_29.04.09_PEIF for costing_Rev00....._TAG Report-Synthon A &amp; B" xfId="288"/>
    <cellStyle name="_CFLU7 BPR060707_PFD_Etiracetam_29.04.09_PEIF for Third Party costing" xfId="289"/>
    <cellStyle name="_CFLU7 BPR060707_PFD_Etiracetam_29.04.09_PEIF for Third Party costing_Draft First_Cut Eflornothine (SA) 22.12.09" xfId="290"/>
    <cellStyle name="_CFLU7 BPR060707_PFD_Etiracetam_29.04.09_PEIF for Third Party costing_TAG REPORT FOR SULINDAC" xfId="291"/>
    <cellStyle name="_CFLU7 BPR060707_PFD_Etiracetam_29.04.09_PEIF of PHX2160 (1000 Kgs) 29.09.2009" xfId="292"/>
    <cellStyle name="_CFLU7 BPR060707_PFD_Etiracetam_29.04.09_PEIF-CPA-Hamari chemicals" xfId="293"/>
    <cellStyle name="_CFLU7 BPR060707_PFD_Etiracetam_29.04.09_PHX2160 _ Back up files" xfId="294"/>
    <cellStyle name="_CFLU7 BPR060707_PFD_Etiracetam_29.04.09_Product Costing-Rev00" xfId="295"/>
    <cellStyle name="_CFLU7 BPR060707_PFD_Etiracetam_29.04.09_Product Costing-Rev00_PEIF 18.12.09 (Rev01)" xfId="296"/>
    <cellStyle name="_CFLU7 BPR060707_PFD_Etiracetam_29.04.09_SYnthon A &amp; B PEIF" xfId="297"/>
    <cellStyle name="_CFLU7 BPR060707_PFD_Etiracetam_29.04.09_SYnthon A-50 MT- possible" xfId="298"/>
    <cellStyle name="_CFLU7 BPR060707_PFD_Etiracetam_29.04.09_TAG REPORT FOR TICAGRELOR...." xfId="299"/>
    <cellStyle name="_CFLU7 BPR060707_PFD_Etiracetam_29.04.09_TAG REPORT FOR TICAGRELOR...._Draft First_Cut Eflornothine (SA) 22.12.09" xfId="300"/>
    <cellStyle name="_CFLU7 BPR060707_PFD_Etiracetam_29.04.09_TAG REPORT FOR TICAGRELOR...._TAG REPORT FOR SULINDAC" xfId="301"/>
    <cellStyle name="_CFLU7 BPR060707_PFD_Etiracetam_29.04.09_TAG Report-Synthon A &amp; B" xfId="302"/>
    <cellStyle name="_CFLU7 BPR060707_PFD_Piracetam_05.05.09" xfId="303"/>
    <cellStyle name="_CFLU7 BPR060707_PFD_Piracetam_05.05.09_~6899541" xfId="304"/>
    <cellStyle name="_CFLU7 BPR060707_PFD_Piracetam_05.05.09_~6899541_PEIF 18.12.09 (Rev01)" xfId="305"/>
    <cellStyle name="_CFLU7 BPR060707_PFD_Piracetam_05.05.09_PEIF 18.12.09 (Rev01)" xfId="306"/>
    <cellStyle name="_CFLU7 BPR060707_PHX2160 _ Back up files" xfId="307"/>
    <cellStyle name="_CFLU7 BPR060707_Piracetam (Prodn Planning)" xfId="308"/>
    <cellStyle name="_CFLU7 BPR060707_Piracetam (Prodn Planning)_~6899541" xfId="309"/>
    <cellStyle name="_CFLU7 BPR060707_Piracetam (Prodn Planning)_~6899541_PEIF 18.12.09 (Rev01)" xfId="310"/>
    <cellStyle name="_CFLU7 BPR060707_Piracetam (Prodn Planning)_PEIF 18.12.09 (Rev01)" xfId="311"/>
    <cellStyle name="_CFLU7 BPR060707_Product Costing-Rev00" xfId="312"/>
    <cellStyle name="_CFLU7 BPR060707_Project costing" xfId="313"/>
    <cellStyle name="_CFLU7 BPR060707_Project costing_~5198021" xfId="314"/>
    <cellStyle name="_CFLU7 BPR060707_Project costing_Chiral benzylamine cost sheet" xfId="315"/>
    <cellStyle name="_CFLU7 BPR060707_Project costing_Cyclohexanone dimethyl acetal-PEIF" xfId="316"/>
    <cellStyle name="_CFLU7 BPR060707_Project costing_First_Cut J&amp;J (TMC207) (081009)" xfId="317"/>
    <cellStyle name="_CFLU7 BPR060707_Project costing_First_Cut_Urapidil (010709)" xfId="318"/>
    <cellStyle name="_CFLU7 BPR060707_Project costing_modified RMC for CPA(HAMARI CHEMICALS)-with recoveries-17032011" xfId="319"/>
    <cellStyle name="_CFLU7 BPR060707_Project costing_NXL-104 OO - 1,5,20,50,75,100 MT - 15.06.2011 - 20.06.2011" xfId="320"/>
    <cellStyle name="_CFLU7 BPR060707_Project costing_PEIF _(1R,4S)-cis-4-acetoxy-2-cyclopenten-1-ol for third party" xfId="321"/>
    <cellStyle name="_CFLU7 BPR060707_Project costing_PEIF _(1R,4S)-cis-4-acetoxy-2-cyclopenten-1-ol for third party_Draft First_Cut Eflornothine (SA) 22.12.09" xfId="322"/>
    <cellStyle name="_CFLU7 BPR060707_Project costing_PEIF _(1R,4S)-cis-4-acetoxy-2-cyclopenten-1-ol for third party_TAG REPORT FOR SULINDAC" xfId="323"/>
    <cellStyle name="_CFLU7 BPR060707_Project costing_PEIF 18.12.09 (Rev01)" xfId="324"/>
    <cellStyle name="_CFLU7 BPR060707_Project costing_PEIF of PHX2160 (1000 Kgs) 29.09.2009" xfId="325"/>
    <cellStyle name="_CFLU7 BPR060707_Project costing_PEIF-CPA-Hamari chemicals" xfId="326"/>
    <cellStyle name="_CFLU7 BPR060707_Project costing_PHX2160 _ Back up files" xfId="327"/>
    <cellStyle name="_CFLU7 BPR060707_Project costing_Product Costing-Rev00" xfId="328"/>
    <cellStyle name="_CFLU7 BPR060707_Project costing_SYnthon A &amp; B PEIF" xfId="329"/>
    <cellStyle name="_CFLU7 BPR060707_Project costing_SYnthon A-50 MT- possible" xfId="330"/>
    <cellStyle name="_CFLU7 BPR060707_Project costing_TAG REPORT FOR TICAGRELOR...." xfId="331"/>
    <cellStyle name="_CFLU7 BPR060707_Project costing_TAG REPORT FOR TICAGRELOR...._Draft First_Cut Eflornothine (SA) 22.12.09" xfId="332"/>
    <cellStyle name="_CFLU7 BPR060707_Project costing_TAG REPORT FOR TICAGRELOR...._TAG REPORT FOR SULINDAC" xfId="333"/>
    <cellStyle name="_CFLU7 BPR060707_Project costing_TAG Report-Synthon A &amp; B" xfId="334"/>
    <cellStyle name="_CFLU7 BPR060707_Rosvastatin ca PEIF 20 MT" xfId="335"/>
    <cellStyle name="_CFLU7 BPR060707_Sorbent Therapeutics_CLP_1600 Kg_Draft" xfId="336"/>
    <cellStyle name="_CFLU7 BPR060707_Sorbent Therapeutics_CLP_500 Kg_Draft" xfId="337"/>
    <cellStyle name="_CFLU7 BPR060707_Summary" xfId="338"/>
    <cellStyle name="_CFLU7 BPR060707_Summary_High Volume PEIF Template" xfId="339"/>
    <cellStyle name="_CFLU7 BPR060707_Validation Campaign Details" xfId="340"/>
    <cellStyle name="_CFLU7 BPR060707_Validation Campaign Details_High Volume PEIF Template" xfId="341"/>
    <cellStyle name="_CFLU8 BPR12112007 rev-2" xfId="342"/>
    <cellStyle name="_CFLU8 BPR12112007 rev-2_~6590636" xfId="343"/>
    <cellStyle name="_CFLU8 BPR12112007 rev-2_~6590636_High Volume PEIF Template" xfId="344"/>
    <cellStyle name="_CFLU8 BPR12112007 rev-2_~6590636_PEIF_CLP_500 Kg &amp; 1600 Kg draft" xfId="345"/>
    <cellStyle name="_CFLU8 BPR12112007 rev-2_~6590636_Sorbent Therapeutics_CLP_1600 Kg_Draft" xfId="346"/>
    <cellStyle name="_CFLU8 BPR12112007 rev-2_~6590636_Sorbent Therapeutics_CLP_500 Kg_Draft" xfId="347"/>
    <cellStyle name="_CFLU8 BPR12112007 rev-2_Atorvastatin_Costing _ Scenario3_ Validation_scale_1 09 08" xfId="348"/>
    <cellStyle name="_CFLU8 BPR12112007 rev-2_Atorvastatin_Costing _ Scenario3_ Validation_scale_1 09 08_High Volume PEIF Template" xfId="349"/>
    <cellStyle name="_CFLU8 BPR12112007 rev-2_Atorvastatin_Costing _ Scenario3_ Validation_scale_1 09 08_PEIF_CLP_500 Kg &amp; 1600 Kg draft" xfId="350"/>
    <cellStyle name="_CFLU8 BPR12112007 rev-2_Atorvastatin_Costing _ Scenario3_ Validation_scale_1 09 08_Sorbent Therapeutics_CLP_1600 Kg_Draft" xfId="351"/>
    <cellStyle name="_CFLU8 BPR12112007 rev-2_Atorvastatin_Costing _ Scenario3_ Validation_scale_1 09 08_Sorbent Therapeutics_CLP_500 Kg_Draft" xfId="352"/>
    <cellStyle name="_CFLU8 BPR12112007 rev-2_Batch Plan for All Stages" xfId="353"/>
    <cellStyle name="_CFLU8 BPR12112007 rev-2_Batch Plan for All Stages_High Volume PEIF Template" xfId="354"/>
    <cellStyle name="_CFLU8 BPR12112007 rev-2_Clodronic acid (Product Costing) rev0" xfId="355"/>
    <cellStyle name="_CFLU8 BPR12112007 rev-2_Clodronic acid (Product Costing) rev0_High Volume PEIF Template" xfId="356"/>
    <cellStyle name="_CFLU8 BPR12112007 rev-2_Clodronic acid_ Validation campaign" xfId="357"/>
    <cellStyle name="_CFLU8 BPR12112007 rev-2_Clopi-Utility cost-rev0" xfId="358"/>
    <cellStyle name="_CFLU8 BPR12112007 rev-2_Clopi-Utility cost-rev0_~5198021" xfId="359"/>
    <cellStyle name="_CFLU8 BPR12112007 rev-2_Clopi-Utility cost-rev0_Chiral benzylamine cost sheet" xfId="360"/>
    <cellStyle name="_CFLU8 BPR12112007 rev-2_Clopi-Utility cost-rev0_Cyclohexanone dimethyl acetal-PEIF" xfId="361"/>
    <cellStyle name="_CFLU8 BPR12112007 rev-2_Clopi-Utility cost-rev0_First_Cut J&amp;J (TMC207) (081009)" xfId="362"/>
    <cellStyle name="_CFLU8 BPR12112007 rev-2_Clopi-Utility cost-rev0_First_Cut_Urapidil (010709)" xfId="363"/>
    <cellStyle name="_CFLU8 BPR12112007 rev-2_Clopi-Utility cost-rev0_Hamari-PEIF" xfId="364"/>
    <cellStyle name="_CFLU8 BPR12112007 rev-2_Clopi-Utility cost-rev0_Hamari-PEIF-Vinod" xfId="365"/>
    <cellStyle name="_CFLU8 BPR12112007 rev-2_Clopi-Utility cost-rev0_modified RMC for CPA(HAMARI CHEMICALS)-with recoveries-17032011" xfId="366"/>
    <cellStyle name="_CFLU8 BPR12112007 rev-2_Clopi-Utility cost-rev0_PEIF _(1R,4S)-cis-4-acetoxy-2-cyclopenten-1-ol for third party" xfId="367"/>
    <cellStyle name="_CFLU8 BPR12112007 rev-2_Clopi-Utility cost-rev0_PEIF _(1R,4S)-cis-4-acetoxy-2-cyclopenten-1-ol for third party_Draft First_Cut Eflornothine (SA) 22.12.09" xfId="368"/>
    <cellStyle name="_CFLU8 BPR12112007 rev-2_Clopi-Utility cost-rev0_PEIF _(1R,4S)-cis-4-acetoxy-2-cyclopenten-1-ol for third party_TAG REPORT FOR SULINDAC" xfId="369"/>
    <cellStyle name="_CFLU8 BPR12112007 rev-2_Clopi-Utility cost-rev0_PEIF 18.12.09 (Rev01)" xfId="370"/>
    <cellStyle name="_CFLU8 BPR12112007 rev-2_Clopi-Utility cost-rev0_PEIF of PHX2160 (1000 Kgs) 29.09.2009" xfId="371"/>
    <cellStyle name="_CFLU8 BPR12112007 rev-2_Clopi-Utility cost-rev0_PEIF_CLP_500 Kg &amp; 1600 Kg draft" xfId="372"/>
    <cellStyle name="_CFLU8 BPR12112007 rev-2_Clopi-Utility cost-rev0_PEIF-CPA-Hamari chemicals" xfId="373"/>
    <cellStyle name="_CFLU8 BPR12112007 rev-2_Clopi-Utility cost-rev0_PHX2160 _ Back up files" xfId="374"/>
    <cellStyle name="_CFLU8 BPR12112007 rev-2_Clopi-Utility cost-rev0_Product Costing-Rev00" xfId="375"/>
    <cellStyle name="_CFLU8 BPR12112007 rev-2_Clopi-Utility cost-rev0_Sorbent Therapeutics_CLP_1600 Kg_Draft" xfId="376"/>
    <cellStyle name="_CFLU8 BPR12112007 rev-2_Clopi-Utility cost-rev0_Sorbent Therapeutics_CLP_500 Kg_Draft" xfId="377"/>
    <cellStyle name="_CFLU8 BPR12112007 rev-2_Clopi-Utility cost-rev0_SYnthon A &amp; B PEIF" xfId="378"/>
    <cellStyle name="_CFLU8 BPR12112007 rev-2_Clopi-Utility cost-rev0_SYnthon A-50 MT- possible" xfId="379"/>
    <cellStyle name="_CFLU8 BPR12112007 rev-2_Clopi-Utility cost-rev0_TAG REPORT FOR TICAGRELOR...." xfId="380"/>
    <cellStyle name="_CFLU8 BPR12112007 rev-2_Clopi-Utility cost-rev0_TAG REPORT FOR TICAGRELOR...._Draft First_Cut Eflornothine (SA) 22.12.09" xfId="381"/>
    <cellStyle name="_CFLU8 BPR12112007 rev-2_Clopi-Utility cost-rev0_TAG REPORT FOR TICAGRELOR...._TAG REPORT FOR SULINDAC" xfId="382"/>
    <cellStyle name="_CFLU8 BPR12112007 rev-2_Clopi-Utility cost-rev0_TAG Report-Synthon A &amp; B" xfId="383"/>
    <cellStyle name="_CFLU8 BPR12112007 rev-2_CLP (Product Costing) Rev-2  as two stage in clean room" xfId="384"/>
    <cellStyle name="_CFLU8 BPR12112007 rev-2_Cost &amp; Timelines for NXL104 15 MT Rev 2" xfId="385"/>
    <cellStyle name="_CFLU8 BPR12112007 rev-2_Cost &amp; Timelines for NXL104 15 MT Rev 2_High Volume PEIF Template" xfId="386"/>
    <cellStyle name="_CFLU8 BPR12112007 rev-2_Costs &amp; timelines" xfId="387"/>
    <cellStyle name="_CFLU8 BPR12112007 rev-2_Costs &amp; timelines_High Volume PEIF Template" xfId="388"/>
    <cellStyle name="_CFLU8 BPR12112007 rev-2_Costs &amp; timelines_PEIF_CLP_500 Kg &amp; 1600 Kg draft" xfId="389"/>
    <cellStyle name="_CFLU8 BPR12112007 rev-2_Costs &amp; timelines_Sorbent Therapeutics_CLP_1600 Kg_Draft" xfId="390"/>
    <cellStyle name="_CFLU8 BPR12112007 rev-2_Costs &amp; timelines_Sorbent Therapeutics_CLP_500 Kg_Draft" xfId="391"/>
    <cellStyle name="_CFLU8 BPR12112007 rev-2_Costsheet  GSK-62" xfId="392"/>
    <cellStyle name="_CFLU8 BPR12112007 rev-2_CR2017 (Prodn Planning) Rev 6 optimistic 15 MT lots" xfId="393"/>
    <cellStyle name="_CFLU8 BPR12112007 rev-2_CR2017 (Prodn Planning) Rev 6 optimistic 15 MT lots_Cyclohexanone dimethyl acetal-PEIF" xfId="394"/>
    <cellStyle name="_CFLU8 BPR12112007 rev-2_CR2017 (Prodn Planning) Rev 6 optimistic 15 MT lots_High Volume PEIF Template" xfId="395"/>
    <cellStyle name="_CFLU8 BPR12112007 rev-2_CR2017 (Prodn Planning) Rev 6 optimistic 15 MT lots_modified RMC for CPA(HAMARI CHEMICALS)-with recoveries-17032011" xfId="396"/>
    <cellStyle name="_CFLU8 BPR12112007 rev-2_CR2017 (Prodn Planning) Rev 6 optimistic 15 MT lots_NXL-104 OO - 1,5,20,50,75,100 MT - 15.06.2011 - 20.06.2011" xfId="397"/>
    <cellStyle name="_CFLU8 BPR12112007 rev-2_CR2017 (Prodn Planning) Rev 6 optimistic 15 MT lots_PEIF of PHX2160 (1000 Kgs) 29.09.2009" xfId="398"/>
    <cellStyle name="_CFLU8 BPR12112007 rev-2_CR2017 (Prodn Planning) Rev 6 optimistic 15 MT lots_PEIF-CPA-Hamari chemicals" xfId="399"/>
    <cellStyle name="_CFLU8 BPR12112007 rev-2_CR2017 (Prodn Planning) Rev 6 optimistic 15 MT lots_PHX2160 _ Back up files" xfId="400"/>
    <cellStyle name="_CFLU8 BPR12112007 rev-2_CR2017 (Prodn Planning) Rev 6 optimistic 15 MT lots_Product Costing-Rev00" xfId="401"/>
    <cellStyle name="_CFLU8 BPR12112007 rev-2_Cyclohexanone dimethyl acetal-PEIF" xfId="402"/>
    <cellStyle name="_CFLU8 BPR12112007 rev-2_Etiracetam (Product Costing) Rev 0 (India)" xfId="403"/>
    <cellStyle name="_CFLU8 BPR12112007 rev-2_Etiracetam (Product Costing) Rev 0 (India)_~5198021" xfId="404"/>
    <cellStyle name="_CFLU8 BPR12112007 rev-2_Etiracetam (Product Costing) Rev 0 (India)_~6899541" xfId="405"/>
    <cellStyle name="_CFLU8 BPR12112007 rev-2_Etiracetam (Product Costing) Rev 0 (India)_~6899541_PEIF 18.12.09 (Rev01)" xfId="406"/>
    <cellStyle name="_CFLU8 BPR12112007 rev-2_Etiracetam (Product Costing) Rev 0 (India)_Batch Plan" xfId="407"/>
    <cellStyle name="_CFLU8 BPR12112007 rev-2_Etiracetam (Product Costing) Rev 0 (India)_Batch Plan_~5198021" xfId="408"/>
    <cellStyle name="_CFLU8 BPR12112007 rev-2_Etiracetam (Product Costing) Rev 0 (India)_Batch Plan_First_Cut J&amp;J (TMC207) (081009)" xfId="409"/>
    <cellStyle name="_CFLU8 BPR12112007 rev-2_Etiracetam (Product Costing) Rev 0 (India)_Batch Plan_First_Cut_Urapidil (010709)" xfId="410"/>
    <cellStyle name="_CFLU8 BPR12112007 rev-2_Etiracetam (Product Costing) Rev 0 (India)_Batch Plan_PEIF _(1R,4S)-cis-4-acetoxy-2-cyclopenten-1-ol for third party" xfId="411"/>
    <cellStyle name="_CFLU8 BPR12112007 rev-2_Etiracetam (Product Costing) Rev 0 (India)_Batch Plan_PEIF _(1R,4S)-cis-4-acetoxy-2-cyclopenten-1-ol for third party_Draft First_Cut Eflornothine (SA) 22.12.09" xfId="412"/>
    <cellStyle name="_CFLU8 BPR12112007 rev-2_Etiracetam (Product Costing) Rev 0 (India)_Batch Plan_PEIF _(1R,4S)-cis-4-acetoxy-2-cyclopenten-1-ol for third party_TAG REPORT FOR SULINDAC" xfId="413"/>
    <cellStyle name="_CFLU8 BPR12112007 rev-2_Etiracetam (Product Costing) Rev 0 (India)_Batch Plan_PEIF 18.12.09 (Rev01)" xfId="414"/>
    <cellStyle name="_CFLU8 BPR12112007 rev-2_Etiracetam (Product Costing) Rev 0 (India)_Batch Plan_PEIF for Third Party costing" xfId="415"/>
    <cellStyle name="_CFLU8 BPR12112007 rev-2_Etiracetam (Product Costing) Rev 0 (India)_Batch Plan_PEIF for Third Party costing_Draft First_Cut Eflornothine (SA) 22.12.09" xfId="416"/>
    <cellStyle name="_CFLU8 BPR12112007 rev-2_Etiracetam (Product Costing) Rev 0 (India)_Batch Plan_PEIF for Third Party costing_TAG REPORT FOR SULINDAC" xfId="417"/>
    <cellStyle name="_CFLU8 BPR12112007 rev-2_Etiracetam (Product Costing) Rev 0 (India)_Batch Plan_SYnthon A &amp; B PEIF" xfId="418"/>
    <cellStyle name="_CFLU8 BPR12112007 rev-2_Etiracetam (Product Costing) Rev 0 (India)_Batch Plan_SYnthon A-50 MT- possible" xfId="419"/>
    <cellStyle name="_CFLU8 BPR12112007 rev-2_Etiracetam (Product Costing) Rev 0 (India)_Batch Plan_TAG REPORT FOR TICAGRELOR...." xfId="420"/>
    <cellStyle name="_CFLU8 BPR12112007 rev-2_Etiracetam (Product Costing) Rev 0 (India)_Batch Plan_TAG REPORT FOR TICAGRELOR...._Draft First_Cut Eflornothine (SA) 22.12.09" xfId="421"/>
    <cellStyle name="_CFLU8 BPR12112007 rev-2_Etiracetam (Product Costing) Rev 0 (India)_Batch Plan_TAG REPORT FOR TICAGRELOR...._TAG REPORT FOR SULINDAC" xfId="422"/>
    <cellStyle name="_CFLU8 BPR12112007 rev-2_Etiracetam (Product Costing) Rev 0 (India)_Batch Plan_TAG Report-Synthon A &amp; B" xfId="423"/>
    <cellStyle name="_CFLU8 BPR12112007 rev-2_Etiracetam (Product Costing) Rev 0 (India)_Chiral benzylamine- 4th June'09_RMC" xfId="424"/>
    <cellStyle name="_CFLU8 BPR12112007 rev-2_Etiracetam (Product Costing) Rev 0 (India)_Chiral benzylamine- 4th June'09_RMC_High Volume PEIF Template" xfId="425"/>
    <cellStyle name="_CFLU8 BPR12112007 rev-2_Etiracetam (Product Costing) Rev 0 (India)_Chiral benzylamine cost sheet" xfId="426"/>
    <cellStyle name="_CFLU8 BPR12112007 rev-2_Etiracetam (Product Costing) Rev 0 (India)_Cyclohexanone dimethyl acetal-PEIF" xfId="427"/>
    <cellStyle name="_CFLU8 BPR12112007 rev-2_Etiracetam (Product Costing) Rev 0 (India)_First Cut for Commercial NKTR-102 (14.10.09)" xfId="428"/>
    <cellStyle name="_CFLU8 BPR12112007 rev-2_Etiracetam (Product Costing) Rev 0 (India)_First_Cut J&amp;J (TMC207) (081009)" xfId="429"/>
    <cellStyle name="_CFLU8 BPR12112007 rev-2_Etiracetam (Product Costing) Rev 0 (India)_First_Cut_Urapidil (010709)" xfId="430"/>
    <cellStyle name="_CFLU8 BPR12112007 rev-2_Etiracetam (Product Costing) Rev 0 (India)_modified RMC for CPA(HAMARI CHEMICALS)-with recoveries-17032011" xfId="431"/>
    <cellStyle name="_CFLU8 BPR12112007 rev-2_Etiracetam (Product Costing) Rev 0 (India)_NXL-104 OO - 1,5,20,50,75,100 MT - 15.06.2011 - 20.06.2011" xfId="432"/>
    <cellStyle name="_CFLU8 BPR12112007 rev-2_Etiracetam (Product Costing) Rev 0 (India)_PEIF _(1R,4S)-cis-4-acetoxy-2-cyclopenten-1-ol for third party" xfId="433"/>
    <cellStyle name="_CFLU8 BPR12112007 rev-2_Etiracetam (Product Costing) Rev 0 (India)_PEIF _(1R,4S)-cis-4-acetoxy-2-cyclopenten-1-ol for third party_Draft First_Cut Eflornothine (SA) 22.12.09" xfId="434"/>
    <cellStyle name="_CFLU8 BPR12112007 rev-2_Etiracetam (Product Costing) Rev 0 (India)_PEIF _(1R,4S)-cis-4-acetoxy-2-cyclopenten-1-ol for third party_TAG REPORT FOR SULINDAC" xfId="435"/>
    <cellStyle name="_CFLU8 BPR12112007 rev-2_Etiracetam (Product Costing) Rev 0 (India)_PEIF 18.12.09 (Rev01)" xfId="436"/>
    <cellStyle name="_CFLU8 BPR12112007 rev-2_Etiracetam (Product Costing) Rev 0 (India)_PEIF for costing_Rev00....." xfId="437"/>
    <cellStyle name="_CFLU8 BPR12112007 rev-2_Etiracetam (Product Costing) Rev 0 (India)_PEIF for costing_Rev00....._~5198021" xfId="438"/>
    <cellStyle name="_CFLU8 BPR12112007 rev-2_Etiracetam (Product Costing) Rev 0 (India)_PEIF for costing_Rev00....._Chiral benzylamine cost sheet" xfId="439"/>
    <cellStyle name="_CFLU8 BPR12112007 rev-2_Etiracetam (Product Costing) Rev 0 (India)_PEIF for costing_Rev00....._Cyclohexanone dimethyl acetal-PEIF" xfId="440"/>
    <cellStyle name="_CFLU8 BPR12112007 rev-2_Etiracetam (Product Costing) Rev 0 (India)_PEIF for costing_Rev00....._First_Cut J&amp;J (TMC207) (081009)" xfId="441"/>
    <cellStyle name="_CFLU8 BPR12112007 rev-2_Etiracetam (Product Costing) Rev 0 (India)_PEIF for costing_Rev00....._First_Cut_Urapidil (010709)" xfId="442"/>
    <cellStyle name="_CFLU8 BPR12112007 rev-2_Etiracetam (Product Costing) Rev 0 (India)_PEIF for costing_Rev00....._modified RMC for CPA(HAMARI CHEMICALS)-with recoveries-17032011" xfId="443"/>
    <cellStyle name="_CFLU8 BPR12112007 rev-2_Etiracetam (Product Costing) Rev 0 (India)_PEIF for costing_Rev00....._NXL-104 OO - 1,5,20,50,75,100 MT - 15.06.2011 - 20.06.2011" xfId="444"/>
    <cellStyle name="_CFLU8 BPR12112007 rev-2_Etiracetam (Product Costing) Rev 0 (India)_PEIF for costing_Rev00....._PEIF _(1R,4S)-cis-4-acetoxy-2-cyclopenten-1-ol for third party" xfId="445"/>
    <cellStyle name="_CFLU8 BPR12112007 rev-2_Etiracetam (Product Costing) Rev 0 (India)_PEIF for costing_Rev00....._PEIF _(1R,4S)-cis-4-acetoxy-2-cyclopenten-1-ol for third party_Draft First_Cut Eflornothine (SA) 22.12.09" xfId="446"/>
    <cellStyle name="_CFLU8 BPR12112007 rev-2_Etiracetam (Product Costing) Rev 0 (India)_PEIF for costing_Rev00....._PEIF _(1R,4S)-cis-4-acetoxy-2-cyclopenten-1-ol for third party_TAG REPORT FOR SULINDAC" xfId="447"/>
    <cellStyle name="_CFLU8 BPR12112007 rev-2_Etiracetam (Product Costing) Rev 0 (India)_PEIF for costing_Rev00....._PEIF 18.12.09 (Rev01)" xfId="448"/>
    <cellStyle name="_CFLU8 BPR12112007 rev-2_Etiracetam (Product Costing) Rev 0 (India)_PEIF for costing_Rev00....._PEIF of PHX2160 (1000 Kgs) 29.09.2009" xfId="449"/>
    <cellStyle name="_CFLU8 BPR12112007 rev-2_Etiracetam (Product Costing) Rev 0 (India)_PEIF for costing_Rev00....._PEIF-CPA-Hamari chemicals" xfId="450"/>
    <cellStyle name="_CFLU8 BPR12112007 rev-2_Etiracetam (Product Costing) Rev 0 (India)_PEIF for costing_Rev00....._PHX2160 _ Back up files" xfId="451"/>
    <cellStyle name="_CFLU8 BPR12112007 rev-2_Etiracetam (Product Costing) Rev 0 (India)_PEIF for costing_Rev00....._Product Costing-Rev00" xfId="452"/>
    <cellStyle name="_CFLU8 BPR12112007 rev-2_Etiracetam (Product Costing) Rev 0 (India)_PEIF for costing_Rev00....._SYnthon A &amp; B PEIF" xfId="453"/>
    <cellStyle name="_CFLU8 BPR12112007 rev-2_Etiracetam (Product Costing) Rev 0 (India)_PEIF for costing_Rev00....._SYnthon A-50 MT- possible" xfId="454"/>
    <cellStyle name="_CFLU8 BPR12112007 rev-2_Etiracetam (Product Costing) Rev 0 (India)_PEIF for costing_Rev00....._TAG REPORT FOR TICAGRELOR...." xfId="455"/>
    <cellStyle name="_CFLU8 BPR12112007 rev-2_Etiracetam (Product Costing) Rev 0 (India)_PEIF for costing_Rev00....._TAG REPORT FOR TICAGRELOR...._Draft First_Cut Eflornothine (SA) 22.12.09" xfId="456"/>
    <cellStyle name="_CFLU8 BPR12112007 rev-2_Etiracetam (Product Costing) Rev 0 (India)_PEIF for costing_Rev00....._TAG REPORT FOR TICAGRELOR...._TAG REPORT FOR SULINDAC" xfId="457"/>
    <cellStyle name="_CFLU8 BPR12112007 rev-2_Etiracetam (Product Costing) Rev 0 (India)_PEIF for costing_Rev00....._TAG Report-Synthon A &amp; B" xfId="458"/>
    <cellStyle name="_CFLU8 BPR12112007 rev-2_Etiracetam (Product Costing) Rev 0 (India)_PEIF for Third Party costing" xfId="459"/>
    <cellStyle name="_CFLU8 BPR12112007 rev-2_Etiracetam (Product Costing) Rev 0 (India)_PEIF for Third Party costing_Draft First_Cut Eflornothine (SA) 22.12.09" xfId="460"/>
    <cellStyle name="_CFLU8 BPR12112007 rev-2_Etiracetam (Product Costing) Rev 0 (India)_PEIF for Third Party costing_TAG REPORT FOR SULINDAC" xfId="461"/>
    <cellStyle name="_CFLU8 BPR12112007 rev-2_Etiracetam (Product Costing) Rev 0 (India)_PEIF of PHX2160 (1000 Kgs) 29.09.2009" xfId="462"/>
    <cellStyle name="_CFLU8 BPR12112007 rev-2_Etiracetam (Product Costing) Rev 0 (India)_PEIF-CPA-Hamari chemicals" xfId="463"/>
    <cellStyle name="_CFLU8 BPR12112007 rev-2_Etiracetam (Product Costing) Rev 0 (India)_PHX2160 _ Back up files" xfId="464"/>
    <cellStyle name="_CFLU8 BPR12112007 rev-2_Etiracetam (Product Costing) Rev 0 (India)_Product Costing-Rev00" xfId="465"/>
    <cellStyle name="_CFLU8 BPR12112007 rev-2_Etiracetam (Product Costing) Rev 0 (India)_Product Costing-Rev00_PEIF 18.12.09 (Rev01)" xfId="466"/>
    <cellStyle name="_CFLU8 BPR12112007 rev-2_Etiracetam (Product Costing) Rev 0 (India)_RM sheet and PEIF of Urapidil" xfId="467"/>
    <cellStyle name="_CFLU8 BPR12112007 rev-2_Etiracetam (Product Costing) Rev 0 (India)_RM sheet and PEIF of Urapidil_~5198021" xfId="468"/>
    <cellStyle name="_CFLU8 BPR12112007 rev-2_Etiracetam (Product Costing) Rev 0 (India)_RM sheet and PEIF of Urapidil_First_Cut J&amp;J (TMC207) (081009)" xfId="469"/>
    <cellStyle name="_CFLU8 BPR12112007 rev-2_Etiracetam (Product Costing) Rev 0 (India)_RM sheet and PEIF of Urapidil_First_Cut_Urapidil (010709)" xfId="470"/>
    <cellStyle name="_CFLU8 BPR12112007 rev-2_Etiracetam (Product Costing) Rev 0 (India)_RM sheet and PEIF of Urapidil_PEIF _(1R,4S)-cis-4-acetoxy-2-cyclopenten-1-ol for third party" xfId="471"/>
    <cellStyle name="_CFLU8 BPR12112007 rev-2_Etiracetam (Product Costing) Rev 0 (India)_RM sheet and PEIF of Urapidil_PEIF _(1R,4S)-cis-4-acetoxy-2-cyclopenten-1-ol for third party_Draft First_Cut Eflornothine (SA) 22.12.09" xfId="472"/>
    <cellStyle name="_CFLU8 BPR12112007 rev-2_Etiracetam (Product Costing) Rev 0 (India)_RM sheet and PEIF of Urapidil_PEIF _(1R,4S)-cis-4-acetoxy-2-cyclopenten-1-ol for third party_TAG REPORT FOR SULINDAC" xfId="473"/>
    <cellStyle name="_CFLU8 BPR12112007 rev-2_Etiracetam (Product Costing) Rev 0 (India)_RM sheet and PEIF of Urapidil_PEIF 18.12.09 (Rev01)" xfId="474"/>
    <cellStyle name="_CFLU8 BPR12112007 rev-2_Etiracetam (Product Costing) Rev 0 (India)_RM sheet and PEIF of Urapidil_PEIF for Third Party costing" xfId="475"/>
    <cellStyle name="_CFLU8 BPR12112007 rev-2_Etiracetam (Product Costing) Rev 0 (India)_RM sheet and PEIF of Urapidil_PEIF for Third Party costing_Draft First_Cut Eflornothine (SA) 22.12.09" xfId="476"/>
    <cellStyle name="_CFLU8 BPR12112007 rev-2_Etiracetam (Product Costing) Rev 0 (India)_RM sheet and PEIF of Urapidil_PEIF for Third Party costing_TAG REPORT FOR SULINDAC" xfId="477"/>
    <cellStyle name="_CFLU8 BPR12112007 rev-2_Etiracetam (Product Costing) Rev 0 (India)_RM sheet and PEIF of Urapidil_SYnthon A &amp; B PEIF" xfId="478"/>
    <cellStyle name="_CFLU8 BPR12112007 rev-2_Etiracetam (Product Costing) Rev 0 (India)_RM sheet and PEIF of Urapidil_SYnthon A-50 MT- possible" xfId="479"/>
    <cellStyle name="_CFLU8 BPR12112007 rev-2_Etiracetam (Product Costing) Rev 0 (India)_RM sheet and PEIF of Urapidil_TAG REPORT FOR TICAGRELOR...." xfId="480"/>
    <cellStyle name="_CFLU8 BPR12112007 rev-2_Etiracetam (Product Costing) Rev 0 (India)_RM sheet and PEIF of Urapidil_TAG REPORT FOR TICAGRELOR...._Draft First_Cut Eflornothine (SA) 22.12.09" xfId="481"/>
    <cellStyle name="_CFLU8 BPR12112007 rev-2_Etiracetam (Product Costing) Rev 0 (India)_RM sheet and PEIF of Urapidil_TAG REPORT FOR TICAGRELOR...._TAG REPORT FOR SULINDAC" xfId="482"/>
    <cellStyle name="_CFLU8 BPR12112007 rev-2_Etiracetam (Product Costing) Rev 0 (India)_RM sheet and PEIF of Urapidil_TAG Report-Synthon A &amp; B" xfId="483"/>
    <cellStyle name="_CFLU8 BPR12112007 rev-2_Etiracetam (Product Costing) Rev 0 (India)_SYnthon A &amp; B PEIF" xfId="484"/>
    <cellStyle name="_CFLU8 BPR12112007 rev-2_Etiracetam (Product Costing) Rev 0 (India)_SYnthon A-50 MT- possible" xfId="485"/>
    <cellStyle name="_CFLU8 BPR12112007 rev-2_Etiracetam (Product Costing) Rev 0 (India)_TAG REPORT FOR TICAGRELOR...." xfId="486"/>
    <cellStyle name="_CFLU8 BPR12112007 rev-2_Etiracetam (Product Costing) Rev 0 (India)_TAG REPORT FOR TICAGRELOR...._Draft First_Cut Eflornothine (SA) 22.12.09" xfId="487"/>
    <cellStyle name="_CFLU8 BPR12112007 rev-2_Etiracetam (Product Costing) Rev 0 (India)_TAG REPORT FOR TICAGRELOR...._TAG REPORT FOR SULINDAC" xfId="488"/>
    <cellStyle name="_CFLU8 BPR12112007 rev-2_Etiracetam (Product Costing) Rev 0 (India)_TAG Report-Synthon A &amp; B" xfId="489"/>
    <cellStyle name="_CFLU8 BPR12112007 rev-2_Hamari-PEIF" xfId="490"/>
    <cellStyle name="_CFLU8 BPR12112007 rev-2_Hamari-PEIF-Vinod" xfId="491"/>
    <cellStyle name="_CFLU8 BPR12112007 rev-2_Isoquinoline 0.5 MT" xfId="492"/>
    <cellStyle name="_CFLU8 BPR12112007 rev-2_Lactum -(Project Costing) Rev 0" xfId="493"/>
    <cellStyle name="_CFLU8 BPR12112007 rev-2_Lactum -(Project Costing) Rev 0_PEIF_CLP_500 Kg &amp; 1600 Kg draft" xfId="494"/>
    <cellStyle name="_CFLU8 BPR12112007 rev-2_Lactum-Utilitycalc'nt-Rev0" xfId="495"/>
    <cellStyle name="_CFLU8 BPR12112007 rev-2_Lactum-Utilitycalc'nt-Rev0_PEIF_CLP_500 Kg &amp; 1600 Kg draft" xfId="496"/>
    <cellStyle name="_CFLU8 BPR12112007 rev-2_Manufacturing of API at New Block Rev 1" xfId="497"/>
    <cellStyle name="_CFLU8 BPR12112007 rev-2_Manufacturing of API at New Block Rev 1_High Volume PEIF Template" xfId="498"/>
    <cellStyle name="_CFLU8 BPR12112007 rev-2_Marbo 130808" xfId="499"/>
    <cellStyle name="_CFLU8 BPR12112007 rev-2_Marbo 130808_~5198021" xfId="500"/>
    <cellStyle name="_CFLU8 BPR12112007 rev-2_Marbo 130808_Chiral benzylamine cost sheet" xfId="501"/>
    <cellStyle name="_CFLU8 BPR12112007 rev-2_Marbo 130808_Cyclohexanone dimethyl acetal-PEIF" xfId="502"/>
    <cellStyle name="_CFLU8 BPR12112007 rev-2_Marbo 130808_First_Cut J&amp;J (TMC207) (081009)" xfId="503"/>
    <cellStyle name="_CFLU8 BPR12112007 rev-2_Marbo 130808_First_Cut_Urapidil (010709)" xfId="504"/>
    <cellStyle name="_CFLU8 BPR12112007 rev-2_Marbo 130808_Hamari-PEIF" xfId="505"/>
    <cellStyle name="_CFLU8 BPR12112007 rev-2_Marbo 130808_Hamari-PEIF-Vinod" xfId="506"/>
    <cellStyle name="_CFLU8 BPR12112007 rev-2_Marbo 130808_modified RMC for CPA(HAMARI CHEMICALS)-with recoveries-17032011" xfId="507"/>
    <cellStyle name="_CFLU8 BPR12112007 rev-2_Marbo 130808_PEIF _(1R,4S)-cis-4-acetoxy-2-cyclopenten-1-ol for third party" xfId="508"/>
    <cellStyle name="_CFLU8 BPR12112007 rev-2_Marbo 130808_PEIF _(1R,4S)-cis-4-acetoxy-2-cyclopenten-1-ol for third party_Draft First_Cut Eflornothine (SA) 22.12.09" xfId="509"/>
    <cellStyle name="_CFLU8 BPR12112007 rev-2_Marbo 130808_PEIF _(1R,4S)-cis-4-acetoxy-2-cyclopenten-1-ol for third party_TAG REPORT FOR SULINDAC" xfId="510"/>
    <cellStyle name="_CFLU8 BPR12112007 rev-2_Marbo 130808_PEIF 18.12.09 (Rev01)" xfId="511"/>
    <cellStyle name="_CFLU8 BPR12112007 rev-2_Marbo 130808_PEIF of PHX2160 (1000 Kgs) 29.09.2009" xfId="512"/>
    <cellStyle name="_CFLU8 BPR12112007 rev-2_Marbo 130808_PEIF_CLP_500 Kg &amp; 1600 Kg draft" xfId="513"/>
    <cellStyle name="_CFLU8 BPR12112007 rev-2_Marbo 130808_PEIF-CPA-Hamari chemicals" xfId="514"/>
    <cellStyle name="_CFLU8 BPR12112007 rev-2_Marbo 130808_PHX2160 _ Back up files" xfId="515"/>
    <cellStyle name="_CFLU8 BPR12112007 rev-2_Marbo 130808_Product Costing-Rev00" xfId="516"/>
    <cellStyle name="_CFLU8 BPR12112007 rev-2_Marbo 130808_Sorbent Therapeutics_CLP_1600 Kg_Draft" xfId="517"/>
    <cellStyle name="_CFLU8 BPR12112007 rev-2_Marbo 130808_Sorbent Therapeutics_CLP_500 Kg_Draft" xfId="518"/>
    <cellStyle name="_CFLU8 BPR12112007 rev-2_Marbo 130808_SYnthon A &amp; B PEIF" xfId="519"/>
    <cellStyle name="_CFLU8 BPR12112007 rev-2_Marbo 130808_SYnthon A-50 MT- possible" xfId="520"/>
    <cellStyle name="_CFLU8 BPR12112007 rev-2_Marbo 130808_TAG REPORT FOR TICAGRELOR...." xfId="521"/>
    <cellStyle name="_CFLU8 BPR12112007 rev-2_Marbo 130808_TAG REPORT FOR TICAGRELOR...._Draft First_Cut Eflornothine (SA) 22.12.09" xfId="522"/>
    <cellStyle name="_CFLU8 BPR12112007 rev-2_Marbo 130808_TAG REPORT FOR TICAGRELOR...._TAG REPORT FOR SULINDAC" xfId="523"/>
    <cellStyle name="_CFLU8 BPR12112007 rev-2_Marbo 130808_TAG Report-Synthon A &amp; B" xfId="524"/>
    <cellStyle name="_CFLU8 BPR12112007 rev-2_Marbo PEIF with new process" xfId="525"/>
    <cellStyle name="_CFLU8 BPR12112007 rev-2_Marbo PEIF with new process_~5198021" xfId="526"/>
    <cellStyle name="_CFLU8 BPR12112007 rev-2_Marbo PEIF with new process_100Kgs PEIF 010609 KSM" xfId="527"/>
    <cellStyle name="_CFLU8 BPR12112007 rev-2_Marbo PEIF with new process_Chiral benzylamine cost sheet" xfId="528"/>
    <cellStyle name="_CFLU8 BPR12112007 rev-2_Marbo PEIF with new process_Chirotech (Ticagrilor intermediate)26.06.09" xfId="529"/>
    <cellStyle name="_CFLU8 BPR12112007 rev-2_Marbo PEIF with new process_Chirotech (Ticagrilor intermediate)26.06.09_High Volume PEIF Template" xfId="530"/>
    <cellStyle name="_CFLU8 BPR12112007 rev-2_Marbo PEIF with new process_Cyclohexanone dimethyl acetal-PEIF" xfId="531"/>
    <cellStyle name="_CFLU8 BPR12112007 rev-2_Marbo PEIF with new process_First_Cut J&amp;J (TMC207) (081009)" xfId="532"/>
    <cellStyle name="_CFLU8 BPR12112007 rev-2_Marbo PEIF with new process_First_Cut_Urapidil (010709)" xfId="533"/>
    <cellStyle name="_CFLU8 BPR12112007 rev-2_Marbo PEIF with new process_modified RMC for CPA(HAMARI CHEMICALS)-with recoveries-17032011" xfId="534"/>
    <cellStyle name="_CFLU8 BPR12112007 rev-2_Marbo PEIF with new process_NXL-104 OO - 1,5,20,50,75,100 MT - 15.06.2011 - 20.06.2011" xfId="535"/>
    <cellStyle name="_CFLU8 BPR12112007 rev-2_Marbo PEIF with new process_PEIF" xfId="536"/>
    <cellStyle name="_CFLU8 BPR12112007 rev-2_Marbo PEIF with new process_PEIF _(1R,4S)-cis-4-acetoxy-2-cyclopenten-1-ol for third party" xfId="537"/>
    <cellStyle name="_CFLU8 BPR12112007 rev-2_Marbo PEIF with new process_PEIF _(1R,4S)-cis-4-acetoxy-2-cyclopenten-1-ol for third party_Draft First_Cut Eflornothine (SA) 22.12.09" xfId="538"/>
    <cellStyle name="_CFLU8 BPR12112007 rev-2_Marbo PEIF with new process_PEIF _(1R,4S)-cis-4-acetoxy-2-cyclopenten-1-ol for third party_TAG REPORT FOR SULINDAC" xfId="539"/>
    <cellStyle name="_CFLU8 BPR12112007 rev-2_Marbo PEIF with new process_PEIF 18.12.09 (Rev01)" xfId="540"/>
    <cellStyle name="_CFLU8 BPR12112007 rev-2_Marbo PEIF with new process_PEIF for Third Party costing" xfId="541"/>
    <cellStyle name="_CFLU8 BPR12112007 rev-2_Marbo PEIF with new process_PEIF of PHX2160 (1000 Kgs) 29.09.2009" xfId="542"/>
    <cellStyle name="_CFLU8 BPR12112007 rev-2_Marbo PEIF with new process_PEIF_CLP_500 Kg &amp; 1600 Kg draft" xfId="543"/>
    <cellStyle name="_CFLU8 BPR12112007 rev-2_Marbo PEIF with new process_PEIF-CPA-Hamari chemicals" xfId="544"/>
    <cellStyle name="_CFLU8 BPR12112007 rev-2_Marbo PEIF with new process_PHX2160 _ Back up files" xfId="545"/>
    <cellStyle name="_CFLU8 BPR12112007 rev-2_Marbo PEIF with new process_Product Costing-Rev00" xfId="546"/>
    <cellStyle name="_CFLU8 BPR12112007 rev-2_Marbo PEIF with new process_Sorbent Therapeutics_CLP_1600 Kg_Draft" xfId="547"/>
    <cellStyle name="_CFLU8 BPR12112007 rev-2_Marbo PEIF with new process_Sorbent Therapeutics_CLP_500 Kg_Draft" xfId="548"/>
    <cellStyle name="_CFLU8 BPR12112007 rev-2_Marbo PEIF with new process_SYnthon A &amp; B PEIF" xfId="549"/>
    <cellStyle name="_CFLU8 BPR12112007 rev-2_Marbo PEIF with new process_SYnthon A-50 MT- possible" xfId="550"/>
    <cellStyle name="_CFLU8 BPR12112007 rev-2_Marbo PEIF with new process_TAG REPORT FOR TICAGRELOR...." xfId="551"/>
    <cellStyle name="_CFLU8 BPR12112007 rev-2_Marbo PEIF with new process_TAG REPORT FOR TICAGRELOR...._Draft First_Cut Eflornothine (SA) 22.12.09" xfId="552"/>
    <cellStyle name="_CFLU8 BPR12112007 rev-2_Marbo PEIF with new process_TAG REPORT FOR TICAGRELOR...._TAG REPORT FOR SULINDAC" xfId="553"/>
    <cellStyle name="_CFLU8 BPR12112007 rev-2_Marbo PEIF with new process_TAG Report-Synthon A &amp; B" xfId="554"/>
    <cellStyle name="_CFLU8 BPR12112007 rev-2_modified RMC for CPA(HAMARI CHEMICALS)-with recoveries-17032011" xfId="555"/>
    <cellStyle name="_CFLU8 BPR12112007 rev-2_Nateglinide Summary" xfId="556"/>
    <cellStyle name="_CFLU8 BPR12112007 rev-2_Nateglinide Summary_~5198021" xfId="557"/>
    <cellStyle name="_CFLU8 BPR12112007 rev-2_Nateglinide Summary_Chiral benzylamine cost sheet" xfId="558"/>
    <cellStyle name="_CFLU8 BPR12112007 rev-2_Nateglinide Summary_Cyclohexanone dimethyl acetal-PEIF" xfId="559"/>
    <cellStyle name="_CFLU8 BPR12112007 rev-2_Nateglinide Summary_First_Cut J&amp;J (TMC207) (081009)" xfId="560"/>
    <cellStyle name="_CFLU8 BPR12112007 rev-2_Nateglinide Summary_First_Cut_Urapidil (010709)" xfId="561"/>
    <cellStyle name="_CFLU8 BPR12112007 rev-2_Nateglinide Summary_Hamari-PEIF" xfId="562"/>
    <cellStyle name="_CFLU8 BPR12112007 rev-2_Nateglinide Summary_Hamari-PEIF-Vinod" xfId="563"/>
    <cellStyle name="_CFLU8 BPR12112007 rev-2_Nateglinide Summary_modified RMC for CPA(HAMARI CHEMICALS)-with recoveries-17032011" xfId="564"/>
    <cellStyle name="_CFLU8 BPR12112007 rev-2_Nateglinide Summary_PEIF _(1R,4S)-cis-4-acetoxy-2-cyclopenten-1-ol for third party" xfId="565"/>
    <cellStyle name="_CFLU8 BPR12112007 rev-2_Nateglinide Summary_PEIF _(1R,4S)-cis-4-acetoxy-2-cyclopenten-1-ol for third party_Draft First_Cut Eflornothine (SA) 22.12.09" xfId="566"/>
    <cellStyle name="_CFLU8 BPR12112007 rev-2_Nateglinide Summary_PEIF _(1R,4S)-cis-4-acetoxy-2-cyclopenten-1-ol for third party_TAG REPORT FOR SULINDAC" xfId="567"/>
    <cellStyle name="_CFLU8 BPR12112007 rev-2_Nateglinide Summary_PEIF 18.12.09 (Rev01)" xfId="568"/>
    <cellStyle name="_CFLU8 BPR12112007 rev-2_Nateglinide Summary_PEIF of PHX2160 (1000 Kgs) 29.09.2009" xfId="569"/>
    <cellStyle name="_CFLU8 BPR12112007 rev-2_Nateglinide Summary_PEIF-CPA-Hamari chemicals" xfId="570"/>
    <cellStyle name="_CFLU8 BPR12112007 rev-2_Nateglinide Summary_PHX2160 _ Back up files" xfId="571"/>
    <cellStyle name="_CFLU8 BPR12112007 rev-2_Nateglinide Summary_Product Costing-Rev00" xfId="572"/>
    <cellStyle name="_CFLU8 BPR12112007 rev-2_Nateglinide Summary_SYnthon A &amp; B PEIF" xfId="573"/>
    <cellStyle name="_CFLU8 BPR12112007 rev-2_Nateglinide Summary_SYnthon A-50 MT- possible" xfId="574"/>
    <cellStyle name="_CFLU8 BPR12112007 rev-2_Nateglinide Summary_TAG REPORT FOR TICAGRELOR...." xfId="575"/>
    <cellStyle name="_CFLU8 BPR12112007 rev-2_Nateglinide Summary_TAG REPORT FOR TICAGRELOR...._Draft First_Cut Eflornothine (SA) 22.12.09" xfId="576"/>
    <cellStyle name="_CFLU8 BPR12112007 rev-2_Nateglinide Summary_TAG REPORT FOR TICAGRELOR...._TAG REPORT FOR SULINDAC" xfId="577"/>
    <cellStyle name="_CFLU8 BPR12112007 rev-2_Nateglinide Summary_TAG Report-Synthon A &amp; B" xfId="578"/>
    <cellStyle name="_CFLU8 BPR12112007 rev-2_Nateglinide-(Project Costing) Rev 1" xfId="579"/>
    <cellStyle name="_CFLU8 BPR12112007 rev-2_PEIF of PHX2160 (1000 Kgs) 29.09.2009" xfId="580"/>
    <cellStyle name="_CFLU8 BPR12112007 rev-2_PEIF_CLP_500 Kg &amp; 1600 Kg draft" xfId="581"/>
    <cellStyle name="_CFLU8 BPR12112007 rev-2_PEIF_Rev00" xfId="582"/>
    <cellStyle name="_CFLU8 BPR12112007 rev-2_PEIF_Rev00_High Volume PEIF Template" xfId="583"/>
    <cellStyle name="_CFLU8 BPR12112007 rev-2_PEIF-CPA-Hamari chemicals" xfId="584"/>
    <cellStyle name="_CFLU8 BPR12112007 rev-2_Peramavir_Back up file" xfId="585"/>
    <cellStyle name="_CFLU8 BPR12112007 rev-2_Peramavir_Back up file_High Volume PEIF Template" xfId="586"/>
    <cellStyle name="_CFLU8 BPR12112007 rev-2_PFD_Etiracetam_29.04.09" xfId="587"/>
    <cellStyle name="_CFLU8 BPR12112007 rev-2_PFD_Etiracetam_29.04.09_~5198021" xfId="588"/>
    <cellStyle name="_CFLU8 BPR12112007 rev-2_PFD_Etiracetam_29.04.09_~6899541" xfId="589"/>
    <cellStyle name="_CFLU8 BPR12112007 rev-2_PFD_Etiracetam_29.04.09_~6899541_PEIF 18.12.09 (Rev01)" xfId="590"/>
    <cellStyle name="_CFLU8 BPR12112007 rev-2_PFD_Etiracetam_29.04.09_Chiral benzylamine cost sheet" xfId="591"/>
    <cellStyle name="_CFLU8 BPR12112007 rev-2_PFD_Etiracetam_29.04.09_Cyclohexanone dimethyl acetal-PEIF" xfId="592"/>
    <cellStyle name="_CFLU8 BPR12112007 rev-2_PFD_Etiracetam_29.04.09_First Cut for Commercial NKTR-102 (14.10.09)" xfId="593"/>
    <cellStyle name="_CFLU8 BPR12112007 rev-2_PFD_Etiracetam_29.04.09_First_Cut J&amp;J (TMC207) (081009)" xfId="594"/>
    <cellStyle name="_CFLU8 BPR12112007 rev-2_PFD_Etiracetam_29.04.09_First_Cut_Urapidil (010709)" xfId="595"/>
    <cellStyle name="_CFLU8 BPR12112007 rev-2_PFD_Etiracetam_29.04.09_modified RMC for CPA(HAMARI CHEMICALS)-with recoveries-17032011" xfId="596"/>
    <cellStyle name="_CFLU8 BPR12112007 rev-2_PFD_Etiracetam_29.04.09_NXL-104 OO - 1,5,20,50,75,100 MT - 15.06.2011 - 20.06.2011" xfId="597"/>
    <cellStyle name="_CFLU8 BPR12112007 rev-2_PFD_Etiracetam_29.04.09_PEIF _(1R,4S)-cis-4-acetoxy-2-cyclopenten-1-ol for third party" xfId="598"/>
    <cellStyle name="_CFLU8 BPR12112007 rev-2_PFD_Etiracetam_29.04.09_PEIF _(1R,4S)-cis-4-acetoxy-2-cyclopenten-1-ol for third party_Draft First_Cut Eflornothine (SA) 22.12.09" xfId="599"/>
    <cellStyle name="_CFLU8 BPR12112007 rev-2_PFD_Etiracetam_29.04.09_PEIF _(1R,4S)-cis-4-acetoxy-2-cyclopenten-1-ol for third party_TAG REPORT FOR SULINDAC" xfId="600"/>
    <cellStyle name="_CFLU8 BPR12112007 rev-2_PFD_Etiracetam_29.04.09_PEIF 18.12.09 (Rev01)" xfId="601"/>
    <cellStyle name="_CFLU8 BPR12112007 rev-2_PFD_Etiracetam_29.04.09_PEIF for costing_Rev00....." xfId="602"/>
    <cellStyle name="_CFLU8 BPR12112007 rev-2_PFD_Etiracetam_29.04.09_PEIF for costing_Rev00....._~5198021" xfId="603"/>
    <cellStyle name="_CFLU8 BPR12112007 rev-2_PFD_Etiracetam_29.04.09_PEIF for costing_Rev00....._Chiral benzylamine cost sheet" xfId="604"/>
    <cellStyle name="_CFLU8 BPR12112007 rev-2_PFD_Etiracetam_29.04.09_PEIF for costing_Rev00....._Cyclohexanone dimethyl acetal-PEIF" xfId="605"/>
    <cellStyle name="_CFLU8 BPR12112007 rev-2_PFD_Etiracetam_29.04.09_PEIF for costing_Rev00....._First_Cut J&amp;J (TMC207) (081009)" xfId="606"/>
    <cellStyle name="_CFLU8 BPR12112007 rev-2_PFD_Etiracetam_29.04.09_PEIF for costing_Rev00....._First_Cut_Urapidil (010709)" xfId="607"/>
    <cellStyle name="_CFLU8 BPR12112007 rev-2_PFD_Etiracetam_29.04.09_PEIF for costing_Rev00....._modified RMC for CPA(HAMARI CHEMICALS)-with recoveries-17032011" xfId="608"/>
    <cellStyle name="_CFLU8 BPR12112007 rev-2_PFD_Etiracetam_29.04.09_PEIF for costing_Rev00....._NXL-104 OO - 1,5,20,50,75,100 MT - 15.06.2011 - 20.06.2011" xfId="609"/>
    <cellStyle name="_CFLU8 BPR12112007 rev-2_PFD_Etiracetam_29.04.09_PEIF for costing_Rev00....._PEIF _(1R,4S)-cis-4-acetoxy-2-cyclopenten-1-ol for third party" xfId="610"/>
    <cellStyle name="_CFLU8 BPR12112007 rev-2_PFD_Etiracetam_29.04.09_PEIF for costing_Rev00....._PEIF _(1R,4S)-cis-4-acetoxy-2-cyclopenten-1-ol for third party_Draft First_Cut Eflornothine (SA) 22.12.09" xfId="611"/>
    <cellStyle name="_CFLU8 BPR12112007 rev-2_PFD_Etiracetam_29.04.09_PEIF for costing_Rev00....._PEIF _(1R,4S)-cis-4-acetoxy-2-cyclopenten-1-ol for third party_TAG REPORT FOR SULINDAC" xfId="612"/>
    <cellStyle name="_CFLU8 BPR12112007 rev-2_PFD_Etiracetam_29.04.09_PEIF for costing_Rev00....._PEIF 18.12.09 (Rev01)" xfId="613"/>
    <cellStyle name="_CFLU8 BPR12112007 rev-2_PFD_Etiracetam_29.04.09_PEIF for costing_Rev00....._PEIF of PHX2160 (1000 Kgs) 29.09.2009" xfId="614"/>
    <cellStyle name="_CFLU8 BPR12112007 rev-2_PFD_Etiracetam_29.04.09_PEIF for costing_Rev00....._PEIF-CPA-Hamari chemicals" xfId="615"/>
    <cellStyle name="_CFLU8 BPR12112007 rev-2_PFD_Etiracetam_29.04.09_PEIF for costing_Rev00....._PHX2160 _ Back up files" xfId="616"/>
    <cellStyle name="_CFLU8 BPR12112007 rev-2_PFD_Etiracetam_29.04.09_PEIF for costing_Rev00....._Product Costing-Rev00" xfId="617"/>
    <cellStyle name="_CFLU8 BPR12112007 rev-2_PFD_Etiracetam_29.04.09_PEIF for costing_Rev00....._SYnthon A &amp; B PEIF" xfId="618"/>
    <cellStyle name="_CFLU8 BPR12112007 rev-2_PFD_Etiracetam_29.04.09_PEIF for costing_Rev00....._SYnthon A-50 MT- possible" xfId="619"/>
    <cellStyle name="_CFLU8 BPR12112007 rev-2_PFD_Etiracetam_29.04.09_PEIF for costing_Rev00....._TAG REPORT FOR TICAGRELOR...." xfId="620"/>
    <cellStyle name="_CFLU8 BPR12112007 rev-2_PFD_Etiracetam_29.04.09_PEIF for costing_Rev00....._TAG REPORT FOR TICAGRELOR...._Draft First_Cut Eflornothine (SA) 22.12.09" xfId="621"/>
    <cellStyle name="_CFLU8 BPR12112007 rev-2_PFD_Etiracetam_29.04.09_PEIF for costing_Rev00....._TAG REPORT FOR TICAGRELOR...._TAG REPORT FOR SULINDAC" xfId="622"/>
    <cellStyle name="_CFLU8 BPR12112007 rev-2_PFD_Etiracetam_29.04.09_PEIF for costing_Rev00....._TAG Report-Synthon A &amp; B" xfId="623"/>
    <cellStyle name="_CFLU8 BPR12112007 rev-2_PFD_Etiracetam_29.04.09_PEIF for Third Party costing" xfId="624"/>
    <cellStyle name="_CFLU8 BPR12112007 rev-2_PFD_Etiracetam_29.04.09_PEIF for Third Party costing_Draft First_Cut Eflornothine (SA) 22.12.09" xfId="625"/>
    <cellStyle name="_CFLU8 BPR12112007 rev-2_PFD_Etiracetam_29.04.09_PEIF for Third Party costing_TAG REPORT FOR SULINDAC" xfId="626"/>
    <cellStyle name="_CFLU8 BPR12112007 rev-2_PFD_Etiracetam_29.04.09_PEIF of PHX2160 (1000 Kgs) 29.09.2009" xfId="627"/>
    <cellStyle name="_CFLU8 BPR12112007 rev-2_PFD_Etiracetam_29.04.09_PEIF-CPA-Hamari chemicals" xfId="628"/>
    <cellStyle name="_CFLU8 BPR12112007 rev-2_PFD_Etiracetam_29.04.09_PHX2160 _ Back up files" xfId="629"/>
    <cellStyle name="_CFLU8 BPR12112007 rev-2_PFD_Etiracetam_29.04.09_Product Costing-Rev00" xfId="630"/>
    <cellStyle name="_CFLU8 BPR12112007 rev-2_PFD_Etiracetam_29.04.09_Product Costing-Rev00_PEIF 18.12.09 (Rev01)" xfId="631"/>
    <cellStyle name="_CFLU8 BPR12112007 rev-2_PFD_Etiracetam_29.04.09_SYnthon A &amp; B PEIF" xfId="632"/>
    <cellStyle name="_CFLU8 BPR12112007 rev-2_PFD_Etiracetam_29.04.09_SYnthon A-50 MT- possible" xfId="633"/>
    <cellStyle name="_CFLU8 BPR12112007 rev-2_PFD_Etiracetam_29.04.09_TAG REPORT FOR TICAGRELOR...." xfId="634"/>
    <cellStyle name="_CFLU8 BPR12112007 rev-2_PFD_Etiracetam_29.04.09_TAG REPORT FOR TICAGRELOR...._Draft First_Cut Eflornothine (SA) 22.12.09" xfId="635"/>
    <cellStyle name="_CFLU8 BPR12112007 rev-2_PFD_Etiracetam_29.04.09_TAG REPORT FOR TICAGRELOR...._TAG REPORT FOR SULINDAC" xfId="636"/>
    <cellStyle name="_CFLU8 BPR12112007 rev-2_PFD_Etiracetam_29.04.09_TAG Report-Synthon A &amp; B" xfId="637"/>
    <cellStyle name="_CFLU8 BPR12112007 rev-2_PFD_Piracetam_05.05.09" xfId="638"/>
    <cellStyle name="_CFLU8 BPR12112007 rev-2_PFD_Piracetam_05.05.09_~6899541" xfId="639"/>
    <cellStyle name="_CFLU8 BPR12112007 rev-2_PFD_Piracetam_05.05.09_~6899541_PEIF 18.12.09 (Rev01)" xfId="640"/>
    <cellStyle name="_CFLU8 BPR12112007 rev-2_PFD_Piracetam_05.05.09_PEIF 18.12.09 (Rev01)" xfId="641"/>
    <cellStyle name="_CFLU8 BPR12112007 rev-2_PHX2160 _ Back up files" xfId="642"/>
    <cellStyle name="_CFLU8 BPR12112007 rev-2_Piracetam (Prodn Planning)" xfId="643"/>
    <cellStyle name="_CFLU8 BPR12112007 rev-2_Piracetam (Prodn Planning)_~6899541" xfId="644"/>
    <cellStyle name="_CFLU8 BPR12112007 rev-2_Piracetam (Prodn Planning)_~6899541_PEIF 18.12.09 (Rev01)" xfId="645"/>
    <cellStyle name="_CFLU8 BPR12112007 rev-2_Piracetam (Prodn Planning)_PEIF 18.12.09 (Rev01)" xfId="646"/>
    <cellStyle name="_CFLU8 BPR12112007 rev-2_Product Costing-Rev00" xfId="647"/>
    <cellStyle name="_CFLU8 BPR12112007 rev-2_Project costing" xfId="648"/>
    <cellStyle name="_CFLU8 BPR12112007 rev-2_Project costing_~5198021" xfId="649"/>
    <cellStyle name="_CFLU8 BPR12112007 rev-2_Project costing_Chiral benzylamine cost sheet" xfId="650"/>
    <cellStyle name="_CFLU8 BPR12112007 rev-2_Project costing_Cyclohexanone dimethyl acetal-PEIF" xfId="651"/>
    <cellStyle name="_CFLU8 BPR12112007 rev-2_Project costing_First_Cut J&amp;J (TMC207) (081009)" xfId="652"/>
    <cellStyle name="_CFLU8 BPR12112007 rev-2_Project costing_First_Cut_Urapidil (010709)" xfId="653"/>
    <cellStyle name="_CFLU8 BPR12112007 rev-2_Project costing_modified RMC for CPA(HAMARI CHEMICALS)-with recoveries-17032011" xfId="654"/>
    <cellStyle name="_CFLU8 BPR12112007 rev-2_Project costing_NXL-104 OO - 1,5,20,50,75,100 MT - 15.06.2011 - 20.06.2011" xfId="655"/>
    <cellStyle name="_CFLU8 BPR12112007 rev-2_Project costing_PEIF _(1R,4S)-cis-4-acetoxy-2-cyclopenten-1-ol for third party" xfId="656"/>
    <cellStyle name="_CFLU8 BPR12112007 rev-2_Project costing_PEIF _(1R,4S)-cis-4-acetoxy-2-cyclopenten-1-ol for third party_Draft First_Cut Eflornothine (SA) 22.12.09" xfId="657"/>
    <cellStyle name="_CFLU8 BPR12112007 rev-2_Project costing_PEIF _(1R,4S)-cis-4-acetoxy-2-cyclopenten-1-ol for third party_TAG REPORT FOR SULINDAC" xfId="658"/>
    <cellStyle name="_CFLU8 BPR12112007 rev-2_Project costing_PEIF 18.12.09 (Rev01)" xfId="659"/>
    <cellStyle name="_CFLU8 BPR12112007 rev-2_Project costing_PEIF of PHX2160 (1000 Kgs) 29.09.2009" xfId="660"/>
    <cellStyle name="_CFLU8 BPR12112007 rev-2_Project costing_PEIF-CPA-Hamari chemicals" xfId="661"/>
    <cellStyle name="_CFLU8 BPR12112007 rev-2_Project costing_PHX2160 _ Back up files" xfId="662"/>
    <cellStyle name="_CFLU8 BPR12112007 rev-2_Project costing_Product Costing-Rev00" xfId="663"/>
    <cellStyle name="_CFLU8 BPR12112007 rev-2_Project costing_SYnthon A &amp; B PEIF" xfId="664"/>
    <cellStyle name="_CFLU8 BPR12112007 rev-2_Project costing_SYnthon A-50 MT- possible" xfId="665"/>
    <cellStyle name="_CFLU8 BPR12112007 rev-2_Project costing_TAG REPORT FOR TICAGRELOR...." xfId="666"/>
    <cellStyle name="_CFLU8 BPR12112007 rev-2_Project costing_TAG REPORT FOR TICAGRELOR...._Draft First_Cut Eflornothine (SA) 22.12.09" xfId="667"/>
    <cellStyle name="_CFLU8 BPR12112007 rev-2_Project costing_TAG REPORT FOR TICAGRELOR...._TAG REPORT FOR SULINDAC" xfId="668"/>
    <cellStyle name="_CFLU8 BPR12112007 rev-2_Project costing_TAG Report-Synthon A &amp; B" xfId="669"/>
    <cellStyle name="_CFLU8 BPR12112007 rev-2_Rosvastatin ca PEIF 20 MT" xfId="670"/>
    <cellStyle name="_CFLU8 BPR12112007 rev-2_Sorbent Therapeutics_CLP_1600 Kg_Draft" xfId="671"/>
    <cellStyle name="_CFLU8 BPR12112007 rev-2_Sorbent Therapeutics_CLP_500 Kg_Draft" xfId="672"/>
    <cellStyle name="_CFLU8 BPR12112007 rev-2_Summary" xfId="673"/>
    <cellStyle name="_CFLU8 BPR12112007 rev-2_Summary_High Volume PEIF Template" xfId="674"/>
    <cellStyle name="_CFLU8 BPR12112007 rev-2_Validation Campaign Details" xfId="675"/>
    <cellStyle name="_CFLU8 BPR12112007 rev-2_Validation Campaign Details_High Volume PEIF Template" xfId="676"/>
    <cellStyle name="_Lactum -(Project Costing) Rev 0" xfId="677"/>
    <cellStyle name="_Marbofloxacin (Project Costing) new process" xfId="678"/>
    <cellStyle name="_Marbofloxacin (Project Costing) new process_(R)-1-Bis(trifluoromethyl)phenyl)ethanol - 14.10.09" xfId="679"/>
    <cellStyle name="_Marbofloxacin (Project Costing) new process_100Kgs PEIF 010609 KSM" xfId="680"/>
    <cellStyle name="_Marbofloxacin (Project Costing) new process_4-(4-phenyl-1-butoxy)-benzoyl chloride (10MT) PEIF 28-08-2008" xfId="681"/>
    <cellStyle name="_Marbofloxacin (Project Costing) new process_Chirotech (Ticagrilor intermediate)26.06.09" xfId="682"/>
    <cellStyle name="_Marbofloxacin (Project Costing) new process_Cyclohexanone dimethyl acetal-PEIF" xfId="683"/>
    <cellStyle name="_Marbofloxacin (Project Costing) new process_Draft First_Cut Eflornothine (SA) 22.12.09" xfId="684"/>
    <cellStyle name="_Marbofloxacin (Project Costing) new process_First_Cut J&amp;J (TMC207) (081009)" xfId="685"/>
    <cellStyle name="_Marbofloxacin (Project Costing) new process_modified RMC for CPA(HAMARI CHEMICALS)-with recoveries-17032011" xfId="686"/>
    <cellStyle name="_Marbofloxacin (Project Costing) new process_NXL-104 OO - 1,5,20,50,75,100 MT - 15.06.2011 - 20.06.2011" xfId="687"/>
    <cellStyle name="_Marbofloxacin (Project Costing) new process_PEIF" xfId="688"/>
    <cellStyle name="_Marbofloxacin (Project Costing) new process_PEIF 18.12.09 (Rev01)" xfId="689"/>
    <cellStyle name="_Marbofloxacin (Project Costing) new process_PEIF- Fmoc-DBAl-OH final" xfId="690"/>
    <cellStyle name="_Marbofloxacin (Project Costing) new process_PEIF- Fmoc-DBAl-OH final_TAG REPORT FOR SULINDAC" xfId="691"/>
    <cellStyle name="_Marbofloxacin (Project Costing) new process_PEIF for Third Party costing" xfId="692"/>
    <cellStyle name="_Marbofloxacin (Project Costing) new process_PEIF of PHX2160 (1000 Kgs) 29.09.2009" xfId="693"/>
    <cellStyle name="_Marbofloxacin (Project Costing) new process_PEIF_CLP_500 Kg &amp; 1600 Kg draft" xfId="694"/>
    <cellStyle name="_Marbofloxacin (Project Costing) new process_PEIF_NXL-104 OO - 1,5,20,50,75,100 MT - 15.06.2011 - 20.06.2011" xfId="695"/>
    <cellStyle name="_Marbofloxacin (Project Costing) new process_PHX2160 _ Back up files" xfId="696"/>
    <cellStyle name="_Marbofloxacin (Project Costing) new process_Product Costing-Rev00" xfId="697"/>
    <cellStyle name="_Marbofloxacin (Project Costing) new process_RMC" xfId="698"/>
    <cellStyle name="_Marbofloxacin (Project Costing) new process_Sorbent Therapeutics_CLP_1600 Kg_Draft" xfId="699"/>
    <cellStyle name="_Marbofloxacin (Project Costing) new process_Sorbent Therapeutics_CLP_500 Kg_Draft" xfId="700"/>
    <cellStyle name="_Marbofloxacin (Project Costing) new process_TAG REPORT FOR (S)-2-Chloromandelic acid" xfId="701"/>
    <cellStyle name="_Nateglinide-(Project Costing) Rev 1" xfId="702"/>
    <cellStyle name="_Project costing" xfId="703"/>
    <cellStyle name="_Project costing_(R)-1-Bis(trifluoromethyl)phenyl)ethanol - 14.10.09" xfId="704"/>
    <cellStyle name="_Valacyclovir (Product Costing) Rev 0 with uniform requirements" xfId="705"/>
    <cellStyle name="_Valacyclovir (Product Costing) Rev 0 with uniform requirements_PEIF_CLP_500 Kg &amp; 1600 Kg draft" xfId="706"/>
    <cellStyle name="_Valacyclovir (Product Costing) Rev 0 with uniform requirements_Sorbent Therapeutics_CLP_1600 Kg_Draft" xfId="707"/>
    <cellStyle name="_Valacyclovir (Product Costing) Rev 0 with uniform requirements_Sorbent Therapeutics_CLP_500 Kg_Draft" xfId="708"/>
    <cellStyle name="_Valsartan (Product Costing) Rev 0" xfId="709"/>
    <cellStyle name="_Valsartan (Product Costing) Rev 0_PEIF_CLP_500 Kg &amp; 1600 Kg draft" xfId="710"/>
    <cellStyle name="_Valsartan (Product Costing) Rev 0_Sorbent Therapeutics_CLP_1600 Kg_Draft" xfId="711"/>
    <cellStyle name="_Valsartan (Product Costing) Rev 0_Sorbent Therapeutics_CLP_500 Kg_Draft" xfId="712"/>
    <cellStyle name="Body" xfId="713"/>
    <cellStyle name="Comma [0] 2" xfId="3"/>
    <cellStyle name="Comma [0] 3" xfId="2"/>
    <cellStyle name="Comma [0] 4" xfId="772"/>
    <cellStyle name="Comma [0] 4 2" xfId="785"/>
    <cellStyle name="Comma [0] 4 2 2" xfId="874"/>
    <cellStyle name="Comma [0] 4 2 2 2" xfId="963"/>
    <cellStyle name="Comma [0] 4 2 3" xfId="836"/>
    <cellStyle name="Comma [0] 4 2 4" xfId="925"/>
    <cellStyle name="Comma [0] 4 3" xfId="798"/>
    <cellStyle name="Comma [0] 4 3 2" xfId="887"/>
    <cellStyle name="Comma [0] 4 3 2 2" xfId="976"/>
    <cellStyle name="Comma [0] 4 3 3" xfId="849"/>
    <cellStyle name="Comma [0] 4 3 4" xfId="938"/>
    <cellStyle name="Comma [0] 4 4" xfId="823"/>
    <cellStyle name="Comma [0] 4 4 2" xfId="912"/>
    <cellStyle name="Comma [0] 4 5" xfId="861"/>
    <cellStyle name="Comma [0] 4 5 2" xfId="950"/>
    <cellStyle name="Comma [0] 4 6" xfId="811"/>
    <cellStyle name="Comma [0] 4 7" xfId="900"/>
    <cellStyle name="Comma 2" xfId="715"/>
    <cellStyle name="Comma 2 2" xfId="716"/>
    <cellStyle name="Comma 3" xfId="717"/>
    <cellStyle name="Comma 4" xfId="718"/>
    <cellStyle name="Comma 5" xfId="714"/>
    <cellStyle name="Comma 6" xfId="761"/>
    <cellStyle name="Comma 7" xfId="759"/>
    <cellStyle name="Comma 8" xfId="760"/>
    <cellStyle name="Currency [0] 2" xfId="4"/>
    <cellStyle name="Currency 2" xfId="719"/>
    <cellStyle name="Header1" xfId="720"/>
    <cellStyle name="Header2" xfId="721"/>
    <cellStyle name="Hyperlink 2" xfId="722"/>
    <cellStyle name="Hyperlink 2 2" xfId="723"/>
    <cellStyle name="Hyperlink 2_100Kgs PEIF 010609 KSM" xfId="724"/>
    <cellStyle name="Hyperlink 3" xfId="725"/>
    <cellStyle name="Hyperlink 3 2" xfId="726"/>
    <cellStyle name="Hyperlink 4" xfId="727"/>
    <cellStyle name="no dec" xfId="728"/>
    <cellStyle name="Normal" xfId="0" builtinId="0"/>
    <cellStyle name="Normal - Style1" xfId="729"/>
    <cellStyle name="Normal 10" xfId="758"/>
    <cellStyle name="Normal 11" xfId="762"/>
    <cellStyle name="Normal 12" xfId="763"/>
    <cellStyle name="Normal 13" xfId="773"/>
    <cellStyle name="Normal 13 2" xfId="786"/>
    <cellStyle name="Normal 13 2 2" xfId="875"/>
    <cellStyle name="Normal 13 2 2 2" xfId="964"/>
    <cellStyle name="Normal 13 2 3" xfId="837"/>
    <cellStyle name="Normal 13 2 4" xfId="926"/>
    <cellStyle name="Normal 13 3" xfId="799"/>
    <cellStyle name="Normal 13 3 2" xfId="888"/>
    <cellStyle name="Normal 13 3 2 2" xfId="977"/>
    <cellStyle name="Normal 13 3 3" xfId="850"/>
    <cellStyle name="Normal 13 3 4" xfId="939"/>
    <cellStyle name="Normal 13 4" xfId="824"/>
    <cellStyle name="Normal 13 4 2" xfId="913"/>
    <cellStyle name="Normal 13 5" xfId="862"/>
    <cellStyle name="Normal 13 5 2" xfId="951"/>
    <cellStyle name="Normal 13 6" xfId="812"/>
    <cellStyle name="Normal 13 7" xfId="901"/>
    <cellStyle name="Normal 14" xfId="984"/>
    <cellStyle name="Normal 15" xfId="985"/>
    <cellStyle name="Normal 16" xfId="986"/>
    <cellStyle name="Normal 2" xfId="1"/>
    <cellStyle name="Normal 2 10" xfId="819"/>
    <cellStyle name="Normal 2 10 2" xfId="908"/>
    <cellStyle name="Normal 2 11" xfId="857"/>
    <cellStyle name="Normal 2 11 2" xfId="946"/>
    <cellStyle name="Normal 2 12" xfId="806"/>
    <cellStyle name="Normal 2 13" xfId="895"/>
    <cellStyle name="Normal 2 14" xfId="768"/>
    <cellStyle name="Normal 2 2" xfId="5"/>
    <cellStyle name="Normal 2 3" xfId="730"/>
    <cellStyle name="Normal 2 4" xfId="731"/>
    <cellStyle name="Normal 2 4 2" xfId="732"/>
    <cellStyle name="Normal 2 5" xfId="765"/>
    <cellStyle name="Normal 2 5 2" xfId="777"/>
    <cellStyle name="Normal 2 5 2 2" xfId="790"/>
    <cellStyle name="Normal 2 5 2 2 2" xfId="879"/>
    <cellStyle name="Normal 2 5 2 2 2 2" xfId="968"/>
    <cellStyle name="Normal 2 5 2 2 3" xfId="841"/>
    <cellStyle name="Normal 2 5 2 2 4" xfId="930"/>
    <cellStyle name="Normal 2 5 2 3" xfId="803"/>
    <cellStyle name="Normal 2 5 2 3 2" xfId="892"/>
    <cellStyle name="Normal 2 5 2 3 2 2" xfId="981"/>
    <cellStyle name="Normal 2 5 2 3 3" xfId="854"/>
    <cellStyle name="Normal 2 5 2 3 4" xfId="943"/>
    <cellStyle name="Normal 2 5 2 4" xfId="828"/>
    <cellStyle name="Normal 2 5 2 4 2" xfId="917"/>
    <cellStyle name="Normal 2 5 2 5" xfId="866"/>
    <cellStyle name="Normal 2 5 2 5 2" xfId="955"/>
    <cellStyle name="Normal 2 5 2 6" xfId="816"/>
    <cellStyle name="Normal 2 5 2 7" xfId="905"/>
    <cellStyle name="Normal 2 5 3" xfId="782"/>
    <cellStyle name="Normal 2 5 3 2" xfId="871"/>
    <cellStyle name="Normal 2 5 3 2 2" xfId="960"/>
    <cellStyle name="Normal 2 5 3 3" xfId="833"/>
    <cellStyle name="Normal 2 5 3 4" xfId="922"/>
    <cellStyle name="Normal 2 5 4" xfId="795"/>
    <cellStyle name="Normal 2 5 4 2" xfId="884"/>
    <cellStyle name="Normal 2 5 4 2 2" xfId="973"/>
    <cellStyle name="Normal 2 5 4 3" xfId="846"/>
    <cellStyle name="Normal 2 5 4 4" xfId="935"/>
    <cellStyle name="Normal 2 5 5" xfId="820"/>
    <cellStyle name="Normal 2 5 5 2" xfId="909"/>
    <cellStyle name="Normal 2 5 6" xfId="858"/>
    <cellStyle name="Normal 2 5 6 2" xfId="947"/>
    <cellStyle name="Normal 2 5 7" xfId="808"/>
    <cellStyle name="Normal 2 5 8" xfId="897"/>
    <cellStyle name="Normal 2 5 9" xfId="769"/>
    <cellStyle name="Normal 2 6" xfId="774"/>
    <cellStyle name="Normal 2 6 2" xfId="787"/>
    <cellStyle name="Normal 2 6 2 2" xfId="876"/>
    <cellStyle name="Normal 2 6 2 2 2" xfId="965"/>
    <cellStyle name="Normal 2 6 2 3" xfId="838"/>
    <cellStyle name="Normal 2 6 2 4" xfId="927"/>
    <cellStyle name="Normal 2 6 3" xfId="800"/>
    <cellStyle name="Normal 2 6 3 2" xfId="889"/>
    <cellStyle name="Normal 2 6 3 2 2" xfId="978"/>
    <cellStyle name="Normal 2 6 3 3" xfId="851"/>
    <cellStyle name="Normal 2 6 3 4" xfId="940"/>
    <cellStyle name="Normal 2 6 4" xfId="825"/>
    <cellStyle name="Normal 2 6 4 2" xfId="914"/>
    <cellStyle name="Normal 2 6 5" xfId="863"/>
    <cellStyle name="Normal 2 6 5 2" xfId="952"/>
    <cellStyle name="Normal 2 6 6" xfId="813"/>
    <cellStyle name="Normal 2 6 7" xfId="902"/>
    <cellStyle name="Normal 2 7" xfId="781"/>
    <cellStyle name="Normal 2 7 2" xfId="794"/>
    <cellStyle name="Normal 2 7 2 2" xfId="883"/>
    <cellStyle name="Normal 2 7 2 2 2" xfId="972"/>
    <cellStyle name="Normal 2 7 2 3" xfId="845"/>
    <cellStyle name="Normal 2 7 2 4" xfId="934"/>
    <cellStyle name="Normal 2 7 3" xfId="832"/>
    <cellStyle name="Normal 2 7 3 2" xfId="921"/>
    <cellStyle name="Normal 2 7 4" xfId="870"/>
    <cellStyle name="Normal 2 7 4 2" xfId="959"/>
    <cellStyle name="Normal 2 7 5" xfId="807"/>
    <cellStyle name="Normal 2 7 6" xfId="896"/>
    <cellStyle name="Normal 2 8" xfId="780"/>
    <cellStyle name="Normal 2 8 2" xfId="869"/>
    <cellStyle name="Normal 2 8 2 2" xfId="958"/>
    <cellStyle name="Normal 2 8 3" xfId="831"/>
    <cellStyle name="Normal 2 8 4" xfId="920"/>
    <cellStyle name="Normal 2 9" xfId="793"/>
    <cellStyle name="Normal 2 9 2" xfId="882"/>
    <cellStyle name="Normal 2 9 2 2" xfId="971"/>
    <cellStyle name="Normal 2 9 3" xfId="844"/>
    <cellStyle name="Normal 2 9 4" xfId="933"/>
    <cellStyle name="Normal 2_Bayer - 2" xfId="733"/>
    <cellStyle name="Normal 3" xfId="734"/>
    <cellStyle name="Normal 3 2" xfId="735"/>
    <cellStyle name="Normal 3 3" xfId="736"/>
    <cellStyle name="Normal 3_Hamari-PEIF" xfId="737"/>
    <cellStyle name="Normal 4" xfId="738"/>
    <cellStyle name="Normal 4 10" xfId="898"/>
    <cellStyle name="Normal 4 11" xfId="770"/>
    <cellStyle name="Normal 4 2" xfId="739"/>
    <cellStyle name="Normal 4 2 2" xfId="740"/>
    <cellStyle name="Normal 4 2 2 10" xfId="771"/>
    <cellStyle name="Normal 4 2 2 2" xfId="767"/>
    <cellStyle name="Normal 4 2 2 2 2" xfId="792"/>
    <cellStyle name="Normal 4 2 2 2 2 2" xfId="881"/>
    <cellStyle name="Normal 4 2 2 2 2 2 2" xfId="970"/>
    <cellStyle name="Normal 4 2 2 2 2 3" xfId="843"/>
    <cellStyle name="Normal 4 2 2 2 2 4" xfId="932"/>
    <cellStyle name="Normal 4 2 2 2 3" xfId="805"/>
    <cellStyle name="Normal 4 2 2 2 3 2" xfId="894"/>
    <cellStyle name="Normal 4 2 2 2 3 2 2" xfId="983"/>
    <cellStyle name="Normal 4 2 2 2 3 3" xfId="856"/>
    <cellStyle name="Normal 4 2 2 2 3 4" xfId="945"/>
    <cellStyle name="Normal 4 2 2 2 4" xfId="830"/>
    <cellStyle name="Normal 4 2 2 2 4 2" xfId="919"/>
    <cellStyle name="Normal 4 2 2 2 5" xfId="868"/>
    <cellStyle name="Normal 4 2 2 2 5 2" xfId="957"/>
    <cellStyle name="Normal 4 2 2 2 6" xfId="818"/>
    <cellStyle name="Normal 4 2 2 2 7" xfId="907"/>
    <cellStyle name="Normal 4 2 2 2 8" xfId="779"/>
    <cellStyle name="Normal 4 2 2 3" xfId="776"/>
    <cellStyle name="Normal 4 2 2 3 2" xfId="789"/>
    <cellStyle name="Normal 4 2 2 3 2 2" xfId="878"/>
    <cellStyle name="Normal 4 2 2 3 2 2 2" xfId="967"/>
    <cellStyle name="Normal 4 2 2 3 2 3" xfId="840"/>
    <cellStyle name="Normal 4 2 2 3 2 4" xfId="929"/>
    <cellStyle name="Normal 4 2 2 3 3" xfId="802"/>
    <cellStyle name="Normal 4 2 2 3 3 2" xfId="891"/>
    <cellStyle name="Normal 4 2 2 3 3 2 2" xfId="980"/>
    <cellStyle name="Normal 4 2 2 3 3 3" xfId="853"/>
    <cellStyle name="Normal 4 2 2 3 3 4" xfId="942"/>
    <cellStyle name="Normal 4 2 2 3 4" xfId="827"/>
    <cellStyle name="Normal 4 2 2 3 4 2" xfId="916"/>
    <cellStyle name="Normal 4 2 2 3 5" xfId="865"/>
    <cellStyle name="Normal 4 2 2 3 5 2" xfId="954"/>
    <cellStyle name="Normal 4 2 2 3 6" xfId="815"/>
    <cellStyle name="Normal 4 2 2 3 7" xfId="904"/>
    <cellStyle name="Normal 4 2 2 4" xfId="784"/>
    <cellStyle name="Normal 4 2 2 4 2" xfId="873"/>
    <cellStyle name="Normal 4 2 2 4 2 2" xfId="962"/>
    <cellStyle name="Normal 4 2 2 4 3" xfId="835"/>
    <cellStyle name="Normal 4 2 2 4 4" xfId="924"/>
    <cellStyle name="Normal 4 2 2 5" xfId="797"/>
    <cellStyle name="Normal 4 2 2 5 2" xfId="886"/>
    <cellStyle name="Normal 4 2 2 5 2 2" xfId="975"/>
    <cellStyle name="Normal 4 2 2 5 3" xfId="848"/>
    <cellStyle name="Normal 4 2 2 5 4" xfId="937"/>
    <cellStyle name="Normal 4 2 2 6" xfId="822"/>
    <cellStyle name="Normal 4 2 2 6 2" xfId="911"/>
    <cellStyle name="Normal 4 2 2 7" xfId="860"/>
    <cellStyle name="Normal 4 2 2 7 2" xfId="949"/>
    <cellStyle name="Normal 4 2 2 8" xfId="810"/>
    <cellStyle name="Normal 4 2 2 9" xfId="899"/>
    <cellStyle name="Normal 4 3" xfId="766"/>
    <cellStyle name="Normal 4 3 2" xfId="791"/>
    <cellStyle name="Normal 4 3 2 2" xfId="880"/>
    <cellStyle name="Normal 4 3 2 2 2" xfId="969"/>
    <cellStyle name="Normal 4 3 2 3" xfId="842"/>
    <cellStyle name="Normal 4 3 2 4" xfId="931"/>
    <cellStyle name="Normal 4 3 3" xfId="804"/>
    <cellStyle name="Normal 4 3 3 2" xfId="893"/>
    <cellStyle name="Normal 4 3 3 2 2" xfId="982"/>
    <cellStyle name="Normal 4 3 3 3" xfId="855"/>
    <cellStyle name="Normal 4 3 3 4" xfId="944"/>
    <cellStyle name="Normal 4 3 4" xfId="829"/>
    <cellStyle name="Normal 4 3 4 2" xfId="918"/>
    <cellStyle name="Normal 4 3 5" xfId="867"/>
    <cellStyle name="Normal 4 3 5 2" xfId="956"/>
    <cellStyle name="Normal 4 3 6" xfId="817"/>
    <cellStyle name="Normal 4 3 7" xfId="906"/>
    <cellStyle name="Normal 4 3 8" xfId="778"/>
    <cellStyle name="Normal 4 4" xfId="775"/>
    <cellStyle name="Normal 4 4 2" xfId="788"/>
    <cellStyle name="Normal 4 4 2 2" xfId="877"/>
    <cellStyle name="Normal 4 4 2 2 2" xfId="966"/>
    <cellStyle name="Normal 4 4 2 3" xfId="839"/>
    <cellStyle name="Normal 4 4 2 4" xfId="928"/>
    <cellStyle name="Normal 4 4 3" xfId="801"/>
    <cellStyle name="Normal 4 4 3 2" xfId="890"/>
    <cellStyle name="Normal 4 4 3 2 2" xfId="979"/>
    <cellStyle name="Normal 4 4 3 3" xfId="852"/>
    <cellStyle name="Normal 4 4 3 4" xfId="941"/>
    <cellStyle name="Normal 4 4 4" xfId="826"/>
    <cellStyle name="Normal 4 4 4 2" xfId="915"/>
    <cellStyle name="Normal 4 4 5" xfId="864"/>
    <cellStyle name="Normal 4 4 5 2" xfId="953"/>
    <cellStyle name="Normal 4 4 6" xfId="814"/>
    <cellStyle name="Normal 4 4 7" xfId="903"/>
    <cellStyle name="Normal 4 5" xfId="783"/>
    <cellStyle name="Normal 4 5 2" xfId="872"/>
    <cellStyle name="Normal 4 5 2 2" xfId="961"/>
    <cellStyle name="Normal 4 5 3" xfId="834"/>
    <cellStyle name="Normal 4 5 4" xfId="923"/>
    <cellStyle name="Normal 4 6" xfId="796"/>
    <cellStyle name="Normal 4 6 2" xfId="885"/>
    <cellStyle name="Normal 4 6 2 2" xfId="974"/>
    <cellStyle name="Normal 4 6 3" xfId="847"/>
    <cellStyle name="Normal 4 6 4" xfId="936"/>
    <cellStyle name="Normal 4 7" xfId="821"/>
    <cellStyle name="Normal 4 7 2" xfId="910"/>
    <cellStyle name="Normal 4 8" xfId="859"/>
    <cellStyle name="Normal 4 8 2" xfId="948"/>
    <cellStyle name="Normal 4 9" xfId="809"/>
    <cellStyle name="Normal 5" xfId="741"/>
    <cellStyle name="Normal 6" xfId="742"/>
    <cellStyle name="Normal 7" xfId="743"/>
    <cellStyle name="Normal 8" xfId="744"/>
    <cellStyle name="Normal 9" xfId="745"/>
    <cellStyle name="Percent 2" xfId="747"/>
    <cellStyle name="Percent 2 2" xfId="748"/>
    <cellStyle name="Percent 2 3" xfId="749"/>
    <cellStyle name="Percent 3" xfId="750"/>
    <cellStyle name="Percent 4" xfId="751"/>
    <cellStyle name="Percent 5" xfId="752"/>
    <cellStyle name="Percent 6" xfId="746"/>
    <cellStyle name="Percent 7" xfId="764"/>
    <cellStyle name="Style 1" xfId="753"/>
    <cellStyle name="Style 1 2" xfId="754"/>
    <cellStyle name="Style 1 3" xfId="755"/>
    <cellStyle name="Style 1_~7350499" xfId="756"/>
    <cellStyle name="常规_(R)-N-Boc-allylglycine " xfId="757"/>
  </cellStyles>
  <dxfs count="12">
    <dxf>
      <font>
        <color theme="0" tint="-0.24994659260841701"/>
      </font>
      <fill>
        <patternFill>
          <bgColor theme="5" tint="0.59996337778862885"/>
        </patternFill>
      </fill>
    </dxf>
    <dxf>
      <font>
        <color theme="0" tint="-0.24994659260841701"/>
      </font>
      <fill>
        <patternFill>
          <bgColor theme="5" tint="0.59996337778862885"/>
        </patternFill>
      </fill>
    </dxf>
    <dxf>
      <font>
        <color theme="0" tint="-0.24994659260841701"/>
      </font>
      <fill>
        <patternFill>
          <bgColor theme="5" tint="0.59996337778862885"/>
        </patternFill>
      </fill>
    </dxf>
    <dxf>
      <font>
        <color theme="0" tint="-0.24994659260841701"/>
      </font>
      <fill>
        <patternFill>
          <bgColor theme="5" tint="0.59996337778862885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ont>
        <color theme="0" tint="-0.24994659260841701"/>
      </font>
      <fill>
        <patternFill>
          <bgColor theme="5" tint="0.59996337778862885"/>
        </patternFill>
      </fill>
    </dxf>
    <dxf>
      <font>
        <color theme="0" tint="-0.24994659260841701"/>
      </font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FFFF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6"/>
  <sheetViews>
    <sheetView showGridLines="0" tabSelected="1" zoomScaleNormal="100" workbookViewId="0">
      <selection activeCell="A3" sqref="A3"/>
    </sheetView>
  </sheetViews>
  <sheetFormatPr defaultRowHeight="12.75"/>
  <cols>
    <col min="1" max="1" width="42.140625" style="9" customWidth="1"/>
    <col min="2" max="2" width="21.140625" style="9" customWidth="1"/>
    <col min="3" max="3" width="35.28515625" style="9" customWidth="1"/>
    <col min="4" max="4" width="27.7109375" style="9" customWidth="1"/>
    <col min="5" max="6" width="15.85546875" style="9" customWidth="1"/>
    <col min="7" max="7" width="17.42578125" style="9" bestFit="1" customWidth="1"/>
    <col min="8" max="8" width="15.85546875" style="9" customWidth="1"/>
    <col min="9" max="16384" width="9.140625" style="9"/>
  </cols>
  <sheetData>
    <row r="1" spans="1:67">
      <c r="A1" s="11" t="s">
        <v>4</v>
      </c>
      <c r="B1" s="11"/>
      <c r="C1" s="10"/>
      <c r="D1" s="10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 spans="1:67" ht="14.25" customHeight="1">
      <c r="A2" s="23" t="s">
        <v>5</v>
      </c>
      <c r="B2" s="23"/>
      <c r="C2" s="8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</row>
    <row r="3" spans="1:67">
      <c r="A3" s="22" t="s">
        <v>6</v>
      </c>
      <c r="B3" s="253"/>
      <c r="C3" s="254"/>
      <c r="D3" s="3" t="s">
        <v>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spans="1:67" ht="22.5" customHeight="1">
      <c r="A4" s="22" t="s">
        <v>8</v>
      </c>
      <c r="B4" s="253"/>
      <c r="C4" s="254"/>
      <c r="D4" s="3" t="s">
        <v>291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 spans="1:67">
      <c r="A5" s="22" t="s">
        <v>10</v>
      </c>
      <c r="B5" s="259"/>
      <c r="C5" s="260"/>
      <c r="D5" s="11" t="s">
        <v>41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 spans="1:67">
      <c r="A6" s="1" t="s">
        <v>34</v>
      </c>
      <c r="B6" s="251"/>
      <c r="C6" s="252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spans="1:67">
      <c r="A7" s="1" t="s">
        <v>35</v>
      </c>
      <c r="B7" s="261"/>
      <c r="C7" s="262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 spans="1:67" ht="30.75" customHeight="1">
      <c r="A8" s="23" t="s">
        <v>292</v>
      </c>
      <c r="B8" s="52"/>
      <c r="C8" s="52"/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</row>
    <row r="9" spans="1:67">
      <c r="A9" s="22" t="s">
        <v>293</v>
      </c>
      <c r="B9" s="257"/>
      <c r="C9" s="258"/>
      <c r="D9" s="3" t="s">
        <v>11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</row>
    <row r="10" spans="1:67" ht="39.75" customHeight="1">
      <c r="A10" s="22" t="s">
        <v>44</v>
      </c>
      <c r="B10" s="249"/>
      <c r="C10" s="250"/>
      <c r="D10" s="5" t="s">
        <v>45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ht="18.75" customHeight="1">
      <c r="A11" s="22" t="s">
        <v>294</v>
      </c>
      <c r="B11" s="263"/>
      <c r="C11" s="264"/>
      <c r="D11" s="3" t="s">
        <v>12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>
      <c r="A12" s="23" t="s">
        <v>73</v>
      </c>
      <c r="B12" s="102"/>
      <c r="C12" s="102"/>
      <c r="D12" s="2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 spans="1:67">
      <c r="A13" s="22" t="s">
        <v>74</v>
      </c>
      <c r="B13" s="259"/>
      <c r="C13" s="260"/>
      <c r="D13" s="3" t="s">
        <v>296</v>
      </c>
      <c r="E13" s="4" t="s">
        <v>295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>
      <c r="A14" s="22" t="s">
        <v>114</v>
      </c>
      <c r="B14" s="259"/>
      <c r="C14" s="260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</row>
    <row r="15" spans="1:67" s="20" customFormat="1">
      <c r="A15" s="21" t="s">
        <v>77</v>
      </c>
      <c r="B15" s="53"/>
      <c r="C15" s="54"/>
      <c r="D15" s="21"/>
    </row>
    <row r="16" spans="1:67">
      <c r="A16" s="23" t="s">
        <v>95</v>
      </c>
      <c r="B16" s="255"/>
      <c r="C16" s="55"/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5" s="4" customFormat="1">
      <c r="A17" s="51" t="s">
        <v>76</v>
      </c>
      <c r="B17" s="256"/>
      <c r="C17" s="55"/>
      <c r="D17" s="3"/>
      <c r="E17" s="3"/>
    </row>
    <row r="18" spans="1:5" s="4" customFormat="1">
      <c r="A18" s="22" t="s">
        <v>40</v>
      </c>
      <c r="B18" s="56"/>
      <c r="C18" s="55"/>
      <c r="D18" s="3"/>
      <c r="E18" s="3"/>
    </row>
    <row r="19" spans="1:5" s="4" customFormat="1">
      <c r="A19" s="22" t="s">
        <v>43</v>
      </c>
      <c r="B19" s="56"/>
      <c r="C19" s="55"/>
      <c r="D19" s="3"/>
      <c r="E19" s="3"/>
    </row>
    <row r="20" spans="1:5" s="4" customFormat="1">
      <c r="A20" s="22" t="s">
        <v>75</v>
      </c>
      <c r="B20" s="56"/>
      <c r="C20" s="55"/>
      <c r="D20" s="3"/>
      <c r="E20" s="3"/>
    </row>
    <row r="21" spans="1:5" s="4" customFormat="1">
      <c r="A21" s="22" t="s">
        <v>37</v>
      </c>
      <c r="B21" s="57"/>
      <c r="C21" s="58"/>
      <c r="D21" s="3"/>
      <c r="E21" s="20"/>
    </row>
    <row r="22" spans="1:5" s="4" customFormat="1">
      <c r="A22" s="4" t="s">
        <v>297</v>
      </c>
      <c r="B22" s="57"/>
    </row>
    <row r="23" spans="1:5" s="4" customFormat="1">
      <c r="A23" s="379" t="s">
        <v>298</v>
      </c>
      <c r="B23" s="379" t="s">
        <v>299</v>
      </c>
      <c r="C23" s="379"/>
    </row>
    <row r="24" spans="1:5" s="4" customFormat="1">
      <c r="A24" s="379"/>
      <c r="B24" s="379"/>
      <c r="C24" s="379"/>
    </row>
    <row r="25" spans="1:5" s="4" customFormat="1">
      <c r="A25" s="379"/>
      <c r="B25" s="379"/>
      <c r="C25" s="379"/>
    </row>
    <row r="26" spans="1:5" s="4" customFormat="1">
      <c r="A26" s="379"/>
      <c r="B26" s="379"/>
      <c r="C26" s="379"/>
    </row>
    <row r="27" spans="1:5" s="4" customFormat="1">
      <c r="A27" s="379"/>
      <c r="B27" s="379"/>
      <c r="C27" s="379"/>
    </row>
    <row r="28" spans="1:5" s="4" customFormat="1">
      <c r="A28" s="379"/>
      <c r="B28" s="379"/>
      <c r="C28" s="379"/>
    </row>
    <row r="29" spans="1:5" s="4" customFormat="1">
      <c r="A29" s="379"/>
      <c r="B29" s="379"/>
      <c r="C29" s="379"/>
    </row>
    <row r="30" spans="1:5" s="4" customFormat="1">
      <c r="A30" s="379"/>
      <c r="B30" s="379"/>
      <c r="C30" s="379"/>
    </row>
    <row r="31" spans="1:5" s="4" customFormat="1">
      <c r="A31" s="379"/>
      <c r="B31" s="379"/>
      <c r="C31" s="379"/>
    </row>
    <row r="32" spans="1:5" s="4" customFormat="1">
      <c r="A32" s="379"/>
      <c r="B32" s="379"/>
      <c r="C32" s="379"/>
    </row>
    <row r="33" spans="1:3" s="4" customFormat="1">
      <c r="A33" s="379"/>
      <c r="B33" s="379"/>
      <c r="C33" s="379"/>
    </row>
    <row r="34" spans="1:3" s="4" customFormat="1">
      <c r="A34" s="379"/>
      <c r="B34" s="379"/>
      <c r="C34" s="379"/>
    </row>
    <row r="35" spans="1:3">
      <c r="A35" s="379"/>
      <c r="B35" s="379"/>
      <c r="C35" s="379"/>
    </row>
    <row r="36" spans="1:3">
      <c r="A36" s="379"/>
      <c r="B36" s="379"/>
      <c r="C36" s="379"/>
    </row>
  </sheetData>
  <mergeCells count="11">
    <mergeCell ref="B16:B17"/>
    <mergeCell ref="B9:C9"/>
    <mergeCell ref="B5:C5"/>
    <mergeCell ref="B7:C7"/>
    <mergeCell ref="B11:C11"/>
    <mergeCell ref="B13:C13"/>
    <mergeCell ref="B14:C14"/>
    <mergeCell ref="B10:C10"/>
    <mergeCell ref="B6:C6"/>
    <mergeCell ref="B3:C3"/>
    <mergeCell ref="B4:C4"/>
  </mergeCells>
  <dataValidations count="1">
    <dataValidation type="decimal" allowBlank="1" showInputMessage="1" showErrorMessage="1" errorTitle="Ony number no text" error="Please enter valid number No text!" sqref="B18:B20">
      <formula1>0</formula1>
      <formula2>100000000000000000000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LIst!#REF!</xm:f>
          </x14:formula1>
          <xm:sqref>B12:B13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workbookViewId="0">
      <selection activeCell="C3" sqref="C3"/>
    </sheetView>
  </sheetViews>
  <sheetFormatPr defaultRowHeight="12.75"/>
  <cols>
    <col min="1" max="1" width="24.5703125" style="9" customWidth="1"/>
    <col min="2" max="2" width="43.140625" style="9" customWidth="1"/>
    <col min="3" max="3" width="57" style="9" bestFit="1" customWidth="1"/>
    <col min="4" max="16384" width="9.140625" style="9"/>
  </cols>
  <sheetData>
    <row r="1" spans="1:10" s="25" customFormat="1">
      <c r="A1" s="24" t="s">
        <v>46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7" customHeight="1">
      <c r="A2" s="236" t="s">
        <v>6</v>
      </c>
      <c r="B2" s="237"/>
      <c r="C2" s="10"/>
      <c r="D2" s="4"/>
      <c r="E2" s="4"/>
      <c r="F2" s="4"/>
      <c r="G2" s="4"/>
      <c r="H2" s="4"/>
      <c r="I2" s="4"/>
      <c r="J2" s="4"/>
    </row>
    <row r="3" spans="1:10" ht="27" customHeight="1">
      <c r="A3" s="236" t="s">
        <v>8</v>
      </c>
      <c r="B3" s="237"/>
      <c r="C3" s="10"/>
      <c r="D3" s="4"/>
      <c r="E3" s="4"/>
      <c r="F3" s="4"/>
      <c r="G3" s="4"/>
      <c r="H3" s="4"/>
      <c r="I3" s="4"/>
      <c r="J3" s="4"/>
    </row>
    <row r="4" spans="1:10" ht="27" customHeight="1">
      <c r="A4" s="236" t="s">
        <v>9</v>
      </c>
      <c r="B4" s="238"/>
      <c r="C4" s="10"/>
      <c r="D4" s="4"/>
      <c r="E4" s="4"/>
      <c r="F4" s="4"/>
      <c r="G4" s="4"/>
      <c r="H4" s="4"/>
      <c r="I4" s="4"/>
      <c r="J4" s="4"/>
    </row>
    <row r="5" spans="1:10" ht="27" customHeight="1">
      <c r="A5" s="236" t="s">
        <v>78</v>
      </c>
      <c r="B5" s="239"/>
      <c r="C5" s="10"/>
      <c r="D5" s="4"/>
      <c r="E5" s="4"/>
      <c r="F5" s="4"/>
      <c r="G5" s="4"/>
      <c r="H5" s="4"/>
      <c r="I5" s="4"/>
      <c r="J5" s="4"/>
    </row>
    <row r="6" spans="1:10" ht="27" customHeight="1">
      <c r="A6" s="236" t="s">
        <v>13</v>
      </c>
      <c r="B6" s="239"/>
      <c r="C6" s="10"/>
      <c r="D6" s="4"/>
      <c r="E6" s="4"/>
      <c r="F6" s="4"/>
      <c r="G6" s="4"/>
      <c r="H6" s="4"/>
      <c r="I6" s="4"/>
      <c r="J6" s="4"/>
    </row>
    <row r="7" spans="1:10" ht="27" customHeight="1">
      <c r="A7" s="236" t="s">
        <v>14</v>
      </c>
      <c r="B7" s="239"/>
      <c r="C7" s="12" t="s">
        <v>274</v>
      </c>
      <c r="D7" s="4"/>
      <c r="E7" s="4"/>
      <c r="F7" s="4"/>
      <c r="G7" s="4"/>
      <c r="H7" s="4"/>
      <c r="I7" s="4"/>
      <c r="J7" s="4"/>
    </row>
    <row r="8" spans="1:10" ht="38.25">
      <c r="A8" s="240" t="s">
        <v>15</v>
      </c>
      <c r="B8" s="241"/>
      <c r="C8" s="26" t="s">
        <v>16</v>
      </c>
      <c r="D8" s="4"/>
      <c r="E8" s="4"/>
      <c r="F8" s="4"/>
      <c r="G8" s="4"/>
      <c r="H8" s="4"/>
      <c r="I8" s="4"/>
      <c r="J8" s="4"/>
    </row>
    <row r="9" spans="1:10" ht="15.75">
      <c r="A9" s="242" t="s">
        <v>80</v>
      </c>
      <c r="B9" s="243"/>
      <c r="C9" s="4"/>
      <c r="D9" s="4"/>
      <c r="E9" s="4"/>
      <c r="F9" s="4"/>
      <c r="G9" s="4"/>
      <c r="H9" s="4"/>
      <c r="I9" s="4"/>
      <c r="J9" s="4"/>
    </row>
    <row r="10" spans="1:10">
      <c r="A10" s="240" t="s">
        <v>269</v>
      </c>
      <c r="B10" s="244"/>
      <c r="C10" s="4"/>
      <c r="D10" s="4"/>
      <c r="E10" s="4"/>
      <c r="F10" s="4"/>
      <c r="G10" s="4"/>
      <c r="H10" s="4"/>
      <c r="I10" s="4"/>
      <c r="J10" s="4"/>
    </row>
    <row r="11" spans="1:10">
      <c r="A11" s="240" t="s">
        <v>267</v>
      </c>
      <c r="B11" s="245"/>
      <c r="C11" s="26"/>
      <c r="D11" s="4"/>
      <c r="E11" s="4"/>
      <c r="F11" s="4"/>
      <c r="G11" s="4"/>
      <c r="H11" s="4"/>
      <c r="I11" s="4"/>
      <c r="J11" s="4"/>
    </row>
    <row r="12" spans="1:10">
      <c r="A12" s="240" t="s">
        <v>268</v>
      </c>
      <c r="B12" s="245"/>
      <c r="C12" s="26"/>
      <c r="D12" s="4"/>
      <c r="E12" s="4"/>
      <c r="F12" s="4"/>
      <c r="G12" s="4"/>
      <c r="H12" s="4"/>
      <c r="I12" s="4"/>
      <c r="J12" s="4"/>
    </row>
    <row r="13" spans="1:10">
      <c r="A13" s="240" t="s">
        <v>270</v>
      </c>
      <c r="B13" s="246"/>
      <c r="C13" s="26"/>
      <c r="D13" s="4"/>
      <c r="E13" s="4"/>
      <c r="F13" s="4"/>
      <c r="G13" s="4"/>
      <c r="H13" s="4"/>
      <c r="I13" s="4"/>
      <c r="J13" s="4"/>
    </row>
    <row r="14" spans="1:10">
      <c r="A14" s="240" t="s">
        <v>271</v>
      </c>
      <c r="B14" s="247"/>
      <c r="C14" s="26"/>
      <c r="D14" s="4"/>
      <c r="E14" s="4"/>
      <c r="F14" s="4"/>
      <c r="G14" s="4"/>
      <c r="H14" s="4"/>
      <c r="I14" s="4"/>
      <c r="J14" s="4"/>
    </row>
    <row r="15" spans="1:10">
      <c r="A15" s="240" t="s">
        <v>81</v>
      </c>
      <c r="B15" s="247"/>
      <c r="C15" s="12" t="s">
        <v>273</v>
      </c>
      <c r="D15" s="4"/>
      <c r="E15" s="4"/>
      <c r="F15" s="4"/>
      <c r="G15" s="4"/>
      <c r="H15" s="4"/>
      <c r="I15" s="4"/>
      <c r="J15" s="4"/>
    </row>
    <row r="16" spans="1:10">
      <c r="A16" s="240" t="s">
        <v>266</v>
      </c>
      <c r="B16" s="247"/>
      <c r="C16" s="26" t="s">
        <v>79</v>
      </c>
      <c r="D16" s="4"/>
      <c r="E16" s="4"/>
      <c r="F16" s="4"/>
      <c r="G16" s="4"/>
      <c r="H16" s="4"/>
      <c r="I16" s="4"/>
      <c r="J16" s="4"/>
    </row>
    <row r="17" spans="1:10">
      <c r="A17" s="240" t="s">
        <v>272</v>
      </c>
      <c r="B17" s="248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104"/>
      <c r="B19" s="105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106"/>
      <c r="C20" s="4"/>
      <c r="D20" s="4"/>
      <c r="E20" s="4"/>
      <c r="F20" s="4"/>
      <c r="G20" s="4"/>
      <c r="H20" s="4"/>
      <c r="I20" s="4"/>
      <c r="J20" s="4"/>
    </row>
    <row r="21" spans="1:10">
      <c r="A21" s="107"/>
      <c r="B21" s="106"/>
      <c r="C21" s="4"/>
      <c r="D21" s="4"/>
      <c r="E21" s="4"/>
      <c r="F21" s="4"/>
      <c r="G21" s="4"/>
      <c r="H21" s="4"/>
      <c r="I21" s="4"/>
      <c r="J21" s="4"/>
    </row>
    <row r="22" spans="1:10">
      <c r="A22" s="107"/>
      <c r="B22" s="106"/>
      <c r="C22" s="4"/>
      <c r="D22" s="4"/>
      <c r="E22" s="4"/>
      <c r="F22" s="4"/>
      <c r="G22" s="4"/>
      <c r="H22" s="4"/>
      <c r="I22" s="4"/>
      <c r="J22" s="4"/>
    </row>
    <row r="23" spans="1:10">
      <c r="A23" s="107"/>
      <c r="B23" s="106"/>
      <c r="C23" s="4"/>
      <c r="D23" s="4"/>
      <c r="E23" s="4"/>
      <c r="F23" s="4"/>
      <c r="G23" s="4"/>
      <c r="H23" s="4"/>
      <c r="I23" s="4"/>
      <c r="J23" s="4"/>
    </row>
    <row r="24" spans="1:10">
      <c r="A24" s="107"/>
      <c r="B24" s="106"/>
      <c r="C24" s="4"/>
      <c r="D24" s="4"/>
      <c r="E24" s="4"/>
      <c r="F24" s="4"/>
      <c r="G24" s="4"/>
      <c r="H24" s="4"/>
      <c r="I24" s="4"/>
      <c r="J24" s="4"/>
    </row>
    <row r="25" spans="1:10">
      <c r="A25" s="107"/>
      <c r="B25" s="106"/>
      <c r="C25" s="4"/>
      <c r="D25" s="4"/>
      <c r="E25" s="4"/>
      <c r="F25" s="4"/>
      <c r="G25" s="4"/>
      <c r="H25" s="4"/>
      <c r="I25" s="4"/>
      <c r="J25" s="4"/>
    </row>
    <row r="26" spans="1:10">
      <c r="A26" s="108"/>
      <c r="B26" s="109"/>
      <c r="C26" s="4"/>
      <c r="D26" s="4"/>
      <c r="E26" s="4"/>
      <c r="F26" s="4"/>
      <c r="G26" s="4"/>
      <c r="H26" s="4"/>
      <c r="I26" s="4"/>
      <c r="J26" s="4"/>
    </row>
  </sheetData>
  <dataValidations count="1">
    <dataValidation type="decimal" allowBlank="1" showInputMessage="1" showErrorMessage="1" errorTitle="Only number no text" error="Please enter valid number No text!" sqref="B10:B12 B14:B17">
      <formula1>0</formula1>
      <formula2>10000000000000000000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30"/>
  <sheetViews>
    <sheetView view="pageLayout" topLeftCell="A4" workbookViewId="0">
      <selection activeCell="J4" sqref="J4:J5"/>
    </sheetView>
  </sheetViews>
  <sheetFormatPr defaultRowHeight="12.75"/>
  <cols>
    <col min="1" max="1" width="4.7109375" style="110" customWidth="1"/>
    <col min="2" max="2" width="9.140625" style="110"/>
    <col min="3" max="3" width="6.140625" style="110" customWidth="1"/>
    <col min="4" max="4" width="12.85546875" style="110" customWidth="1"/>
    <col min="5" max="5" width="10" style="110" customWidth="1"/>
    <col min="6" max="6" width="29.42578125" style="110" customWidth="1"/>
    <col min="7" max="7" width="6.7109375" style="110" customWidth="1"/>
    <col min="8" max="8" width="5.7109375" style="110" customWidth="1"/>
    <col min="9" max="9" width="25.42578125" style="110" customWidth="1"/>
    <col min="10" max="10" width="33.7109375" style="110" customWidth="1"/>
    <col min="11" max="11" width="12.28515625" style="110" customWidth="1"/>
    <col min="12" max="16384" width="9.140625" style="110"/>
  </cols>
  <sheetData>
    <row r="1" spans="2:12" ht="13.5" thickBot="1">
      <c r="B1" s="111"/>
      <c r="C1" s="112"/>
      <c r="D1" s="112"/>
      <c r="E1" s="112"/>
      <c r="F1" s="112"/>
      <c r="G1" s="112"/>
      <c r="H1" s="112"/>
      <c r="I1" s="112"/>
      <c r="J1" s="112"/>
      <c r="K1" s="113"/>
      <c r="L1" s="114"/>
    </row>
    <row r="2" spans="2:12" ht="16.5" thickBot="1">
      <c r="B2" s="115"/>
      <c r="C2" s="280" t="s">
        <v>17</v>
      </c>
      <c r="D2" s="281"/>
      <c r="E2" s="281"/>
      <c r="F2" s="281"/>
      <c r="G2" s="281"/>
      <c r="H2" s="281"/>
      <c r="I2" s="281"/>
      <c r="J2" s="282"/>
      <c r="K2" s="116"/>
      <c r="L2" s="114"/>
    </row>
    <row r="3" spans="2:12" ht="13.5" thickBot="1">
      <c r="B3" s="115"/>
      <c r="C3" s="210"/>
      <c r="D3" s="210"/>
      <c r="E3" s="210"/>
      <c r="F3" s="210"/>
      <c r="G3" s="210"/>
      <c r="H3" s="210"/>
      <c r="I3" s="210"/>
      <c r="J3" s="210"/>
      <c r="K3" s="116"/>
      <c r="L3" s="114"/>
    </row>
    <row r="4" spans="2:12" ht="13.5" customHeight="1">
      <c r="B4" s="115"/>
      <c r="C4" s="290" t="s">
        <v>6</v>
      </c>
      <c r="D4" s="300"/>
      <c r="E4" s="296"/>
      <c r="F4" s="297"/>
      <c r="G4" s="210"/>
      <c r="H4" s="290" t="s">
        <v>19</v>
      </c>
      <c r="I4" s="291"/>
      <c r="J4" s="294"/>
      <c r="K4" s="116"/>
      <c r="L4" s="114"/>
    </row>
    <row r="5" spans="2:12" ht="13.5" thickBot="1">
      <c r="B5" s="115"/>
      <c r="C5" s="292"/>
      <c r="D5" s="301"/>
      <c r="E5" s="298"/>
      <c r="F5" s="299"/>
      <c r="G5" s="210"/>
      <c r="H5" s="292"/>
      <c r="I5" s="293"/>
      <c r="J5" s="295"/>
      <c r="K5" s="116"/>
      <c r="L5" s="114"/>
    </row>
    <row r="6" spans="2:12">
      <c r="B6" s="115"/>
      <c r="C6" s="210"/>
      <c r="D6" s="210"/>
      <c r="E6" s="210"/>
      <c r="F6" s="210"/>
      <c r="G6" s="210"/>
      <c r="H6" s="210"/>
      <c r="I6" s="210"/>
      <c r="J6" s="210"/>
      <c r="K6" s="116"/>
      <c r="L6" s="114"/>
    </row>
    <row r="7" spans="2:12" ht="13.5" thickBot="1">
      <c r="B7" s="115"/>
      <c r="C7" s="210"/>
      <c r="D7" s="210"/>
      <c r="E7" s="210"/>
      <c r="F7" s="210"/>
      <c r="G7" s="210"/>
      <c r="H7" s="210"/>
      <c r="I7" s="210"/>
      <c r="J7" s="210"/>
      <c r="K7" s="116"/>
      <c r="L7" s="114"/>
    </row>
    <row r="8" spans="2:12" ht="13.5" thickBot="1">
      <c r="B8" s="115"/>
      <c r="C8" s="265" t="s">
        <v>21</v>
      </c>
      <c r="D8" s="266"/>
      <c r="E8" s="266"/>
      <c r="F8" s="267"/>
      <c r="G8" s="114"/>
      <c r="H8" s="287" t="s">
        <v>22</v>
      </c>
      <c r="I8" s="288"/>
      <c r="J8" s="289"/>
      <c r="K8" s="116"/>
      <c r="L8" s="114"/>
    </row>
    <row r="9" spans="2:12">
      <c r="B9" s="115"/>
      <c r="C9" s="117">
        <v>1</v>
      </c>
      <c r="D9" s="284" t="s">
        <v>23</v>
      </c>
      <c r="E9" s="284"/>
      <c r="F9" s="129"/>
      <c r="G9" s="114"/>
      <c r="H9" s="117">
        <v>1</v>
      </c>
      <c r="I9" s="211" t="s">
        <v>8</v>
      </c>
      <c r="J9" s="206"/>
      <c r="K9" s="116"/>
      <c r="L9" s="114"/>
    </row>
    <row r="10" spans="2:12" ht="27" customHeight="1">
      <c r="B10" s="115"/>
      <c r="C10" s="118">
        <v>2</v>
      </c>
      <c r="D10" s="285" t="s">
        <v>78</v>
      </c>
      <c r="E10" s="285"/>
      <c r="F10" s="130"/>
      <c r="G10" s="114"/>
      <c r="H10" s="118">
        <v>2</v>
      </c>
      <c r="I10" s="212" t="s">
        <v>24</v>
      </c>
      <c r="J10" s="207"/>
      <c r="K10" s="116"/>
      <c r="L10" s="114"/>
    </row>
    <row r="11" spans="2:12">
      <c r="B11" s="115"/>
      <c r="C11" s="119">
        <v>3</v>
      </c>
      <c r="D11" s="286" t="s">
        <v>25</v>
      </c>
      <c r="E11" s="286"/>
      <c r="F11" s="131"/>
      <c r="G11" s="114"/>
      <c r="H11" s="118">
        <v>3</v>
      </c>
      <c r="I11" s="212" t="s">
        <v>277</v>
      </c>
      <c r="J11" s="208"/>
      <c r="K11" s="116"/>
      <c r="L11" s="114"/>
    </row>
    <row r="12" spans="2:12" ht="13.5" thickBot="1">
      <c r="B12" s="115"/>
      <c r="C12" s="120">
        <v>4</v>
      </c>
      <c r="D12" s="305" t="s">
        <v>26</v>
      </c>
      <c r="E12" s="305"/>
      <c r="F12" s="132"/>
      <c r="G12" s="114"/>
      <c r="H12" s="121">
        <v>4</v>
      </c>
      <c r="I12" s="122" t="s">
        <v>111</v>
      </c>
      <c r="J12" s="209"/>
      <c r="K12" s="116"/>
      <c r="L12" s="114"/>
    </row>
    <row r="13" spans="2:12">
      <c r="B13" s="115"/>
      <c r="C13" s="283"/>
      <c r="D13" s="283"/>
      <c r="E13" s="114"/>
      <c r="F13" s="114"/>
      <c r="G13" s="114"/>
      <c r="H13" s="114"/>
      <c r="I13" s="114"/>
      <c r="J13" s="114"/>
      <c r="K13" s="116"/>
      <c r="L13" s="114"/>
    </row>
    <row r="14" spans="2:12" ht="13.5" thickBot="1">
      <c r="B14" s="115"/>
      <c r="C14" s="114"/>
      <c r="D14" s="114"/>
      <c r="E14" s="114"/>
      <c r="F14" s="114"/>
      <c r="G14" s="114"/>
      <c r="H14" s="114"/>
      <c r="I14" s="114"/>
      <c r="J14" s="114"/>
      <c r="K14" s="116"/>
      <c r="L14" s="114"/>
    </row>
    <row r="15" spans="2:12">
      <c r="B15" s="115"/>
      <c r="C15" s="275" t="s">
        <v>27</v>
      </c>
      <c r="D15" s="276"/>
      <c r="E15" s="276"/>
      <c r="F15" s="276"/>
      <c r="G15" s="276"/>
      <c r="H15" s="276"/>
      <c r="I15" s="276"/>
      <c r="J15" s="277"/>
      <c r="K15" s="116"/>
      <c r="L15" s="114"/>
    </row>
    <row r="16" spans="2:12" ht="59.25" customHeight="1">
      <c r="B16" s="115"/>
      <c r="C16" s="201">
        <v>1</v>
      </c>
      <c r="D16" s="271" t="s">
        <v>28</v>
      </c>
      <c r="E16" s="271"/>
      <c r="F16" s="271"/>
      <c r="G16" s="271"/>
      <c r="H16" s="272"/>
      <c r="I16" s="273"/>
      <c r="J16" s="274"/>
      <c r="K16" s="116"/>
      <c r="L16" s="114"/>
    </row>
    <row r="17" spans="2:12" ht="90" customHeight="1">
      <c r="B17" s="115"/>
      <c r="C17" s="201">
        <v>2</v>
      </c>
      <c r="D17" s="271" t="s">
        <v>82</v>
      </c>
      <c r="E17" s="271"/>
      <c r="F17" s="271"/>
      <c r="G17" s="271"/>
      <c r="H17" s="272"/>
      <c r="I17" s="273"/>
      <c r="J17" s="274"/>
      <c r="K17" s="116"/>
      <c r="L17" s="114"/>
    </row>
    <row r="18" spans="2:12" ht="27.75" customHeight="1">
      <c r="B18" s="115"/>
      <c r="C18" s="201">
        <v>3</v>
      </c>
      <c r="D18" s="271" t="s">
        <v>29</v>
      </c>
      <c r="E18" s="271"/>
      <c r="F18" s="271"/>
      <c r="G18" s="271"/>
      <c r="H18" s="303"/>
      <c r="I18" s="285"/>
      <c r="J18" s="304"/>
      <c r="K18" s="116"/>
      <c r="L18" s="114"/>
    </row>
    <row r="19" spans="2:12" ht="17.25" customHeight="1" thickBot="1">
      <c r="B19" s="115"/>
      <c r="C19" s="202">
        <v>4</v>
      </c>
      <c r="D19" s="268" t="s">
        <v>120</v>
      </c>
      <c r="E19" s="268"/>
      <c r="F19" s="268"/>
      <c r="G19" s="268"/>
      <c r="H19" s="269"/>
      <c r="I19" s="269"/>
      <c r="J19" s="270"/>
      <c r="K19" s="116"/>
      <c r="L19" s="114"/>
    </row>
    <row r="20" spans="2:12">
      <c r="B20" s="115"/>
      <c r="C20" s="302" t="s">
        <v>30</v>
      </c>
      <c r="D20" s="302"/>
      <c r="E20" s="302"/>
      <c r="F20" s="302"/>
      <c r="G20" s="302"/>
      <c r="H20" s="302"/>
      <c r="I20" s="302"/>
      <c r="J20" s="302"/>
      <c r="K20" s="116"/>
      <c r="L20" s="114"/>
    </row>
    <row r="21" spans="2:12">
      <c r="B21" s="115"/>
      <c r="C21" s="114" t="s">
        <v>31</v>
      </c>
      <c r="D21" s="213"/>
      <c r="E21" s="213"/>
      <c r="F21" s="213"/>
      <c r="G21" s="213"/>
      <c r="H21" s="213"/>
      <c r="I21" s="213"/>
      <c r="J21" s="213"/>
      <c r="K21" s="116"/>
      <c r="L21" s="114"/>
    </row>
    <row r="22" spans="2:12">
      <c r="B22" s="115"/>
      <c r="C22" s="114" t="s">
        <v>72</v>
      </c>
      <c r="D22" s="114"/>
      <c r="E22" s="114"/>
      <c r="F22" s="114"/>
      <c r="G22" s="114"/>
      <c r="H22" s="114"/>
      <c r="I22" s="114"/>
      <c r="J22" s="114"/>
      <c r="K22" s="116"/>
      <c r="L22" s="114"/>
    </row>
    <row r="23" spans="2:12">
      <c r="B23" s="115"/>
      <c r="C23" s="214"/>
      <c r="D23" s="114"/>
      <c r="E23" s="114"/>
      <c r="F23" s="114"/>
      <c r="G23" s="114"/>
      <c r="H23" s="114"/>
      <c r="I23" s="114"/>
      <c r="J23" s="114"/>
      <c r="K23" s="116"/>
      <c r="L23" s="114"/>
    </row>
    <row r="24" spans="2:12">
      <c r="B24" s="115"/>
      <c r="C24" s="214"/>
      <c r="D24" s="114"/>
      <c r="E24" s="114"/>
      <c r="F24" s="114"/>
      <c r="G24" s="114"/>
      <c r="H24" s="114"/>
      <c r="I24" s="114"/>
      <c r="J24" s="114"/>
      <c r="K24" s="116"/>
      <c r="L24" s="114"/>
    </row>
    <row r="25" spans="2:12">
      <c r="B25" s="115"/>
      <c r="C25" s="214"/>
      <c r="D25" s="114"/>
      <c r="E25" s="114"/>
      <c r="F25" s="114"/>
      <c r="G25" s="114"/>
      <c r="H25" s="114"/>
      <c r="I25" s="114"/>
      <c r="J25" s="114"/>
      <c r="K25" s="116"/>
      <c r="L25" s="114"/>
    </row>
    <row r="26" spans="2:12">
      <c r="B26" s="115"/>
      <c r="C26" s="214"/>
      <c r="D26" s="114"/>
      <c r="E26" s="114"/>
      <c r="F26" s="114"/>
      <c r="G26" s="114"/>
      <c r="H26" s="114"/>
      <c r="I26" s="114"/>
      <c r="J26" s="114"/>
      <c r="K26" s="116"/>
      <c r="L26" s="114"/>
    </row>
    <row r="27" spans="2:12">
      <c r="B27" s="115"/>
      <c r="C27" s="124" t="s">
        <v>285</v>
      </c>
      <c r="D27" s="123"/>
      <c r="E27" s="123"/>
      <c r="F27" s="124" t="s">
        <v>279</v>
      </c>
      <c r="G27" s="278" t="s">
        <v>287</v>
      </c>
      <c r="H27" s="278"/>
      <c r="I27" s="278"/>
      <c r="J27" s="124" t="s">
        <v>278</v>
      </c>
      <c r="K27" s="215"/>
      <c r="L27" s="123"/>
    </row>
    <row r="28" spans="2:12">
      <c r="B28" s="115"/>
      <c r="C28" s="125" t="s">
        <v>3</v>
      </c>
      <c r="D28" s="123"/>
      <c r="E28" s="123"/>
      <c r="F28" s="205" t="s">
        <v>284</v>
      </c>
      <c r="G28" s="279" t="s">
        <v>288</v>
      </c>
      <c r="H28" s="279"/>
      <c r="I28" s="279"/>
      <c r="J28" s="123" t="s">
        <v>33</v>
      </c>
      <c r="K28" s="215"/>
      <c r="L28" s="123"/>
    </row>
    <row r="29" spans="2:12" ht="13.5" thickBot="1">
      <c r="B29" s="126"/>
      <c r="C29" s="127"/>
      <c r="D29" s="127"/>
      <c r="E29" s="127"/>
      <c r="F29" s="127"/>
      <c r="G29" s="127"/>
      <c r="H29" s="127"/>
      <c r="I29" s="127"/>
      <c r="J29" s="127"/>
      <c r="K29" s="128"/>
      <c r="L29" s="114"/>
    </row>
    <row r="30" spans="2:12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</row>
  </sheetData>
  <sheetProtection selectLockedCells="1" selectUnlockedCells="1"/>
  <mergeCells count="24">
    <mergeCell ref="G27:I27"/>
    <mergeCell ref="G28:I28"/>
    <mergeCell ref="C2:J2"/>
    <mergeCell ref="C13:D13"/>
    <mergeCell ref="D9:E9"/>
    <mergeCell ref="D10:E10"/>
    <mergeCell ref="D11:E11"/>
    <mergeCell ref="H8:J8"/>
    <mergeCell ref="H4:I5"/>
    <mergeCell ref="J4:J5"/>
    <mergeCell ref="E4:F5"/>
    <mergeCell ref="C4:D5"/>
    <mergeCell ref="C20:J20"/>
    <mergeCell ref="D18:G18"/>
    <mergeCell ref="H18:J18"/>
    <mergeCell ref="D12:E12"/>
    <mergeCell ref="C8:F8"/>
    <mergeCell ref="D19:G19"/>
    <mergeCell ref="H19:J19"/>
    <mergeCell ref="D16:G16"/>
    <mergeCell ref="H16:J16"/>
    <mergeCell ref="D17:G17"/>
    <mergeCell ref="H17:J17"/>
    <mergeCell ref="C15:J15"/>
  </mergeCells>
  <pageMargins left="0.23622047244094491" right="0.23622047244094491" top="0.74803149606299213" bottom="0.74803149606299213" header="0.31496062992125984" footer="0.31496062992125984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61"/>
  <sheetViews>
    <sheetView showGridLines="0" topLeftCell="A7" workbookViewId="0">
      <selection activeCell="B7" sqref="B7"/>
    </sheetView>
  </sheetViews>
  <sheetFormatPr defaultRowHeight="12.75"/>
  <cols>
    <col min="1" max="1" width="30.42578125" style="183" customWidth="1"/>
    <col min="2" max="2" width="25.140625" style="183" customWidth="1"/>
    <col min="3" max="3" width="19.7109375" style="183" customWidth="1"/>
    <col min="4" max="4" width="20" style="183" customWidth="1"/>
    <col min="5" max="5" width="23" style="183" customWidth="1"/>
    <col min="6" max="6" width="14.5703125" style="183" customWidth="1"/>
    <col min="7" max="7" width="9" style="183" customWidth="1"/>
    <col min="8" max="16384" width="9.140625" style="183"/>
  </cols>
  <sheetData>
    <row r="1" spans="1:22" ht="21" customHeight="1">
      <c r="A1" s="306" t="s">
        <v>110</v>
      </c>
      <c r="B1" s="307"/>
      <c r="C1" s="307"/>
      <c r="D1" s="307"/>
      <c r="E1" s="307"/>
      <c r="F1" s="307"/>
      <c r="G1" s="308"/>
      <c r="H1" s="134"/>
      <c r="I1" s="134"/>
      <c r="J1" s="134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</row>
    <row r="2" spans="1:22" ht="12.75" customHeight="1" thickBot="1">
      <c r="A2" s="309"/>
      <c r="B2" s="310"/>
      <c r="C2" s="310"/>
      <c r="D2" s="310"/>
      <c r="E2" s="310"/>
      <c r="F2" s="310"/>
      <c r="G2" s="311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</row>
    <row r="3" spans="1:22" ht="15.75" thickBot="1">
      <c r="A3" s="170" t="s">
        <v>6</v>
      </c>
      <c r="B3" s="171"/>
      <c r="C3" s="184"/>
      <c r="D3" s="184"/>
      <c r="E3" s="223" t="s">
        <v>313</v>
      </c>
      <c r="F3" s="221"/>
      <c r="G3" s="185"/>
    </row>
    <row r="4" spans="1:22" ht="18.75" customHeight="1">
      <c r="A4" s="168" t="s">
        <v>8</v>
      </c>
      <c r="B4" s="169"/>
      <c r="C4" s="184"/>
      <c r="D4" s="184"/>
      <c r="E4" s="380" t="s">
        <v>310</v>
      </c>
      <c r="F4" s="380">
        <v>3</v>
      </c>
      <c r="G4" s="185"/>
    </row>
    <row r="5" spans="1:22">
      <c r="A5" s="153" t="s">
        <v>9</v>
      </c>
      <c r="B5" s="148">
        <v>44774</v>
      </c>
      <c r="C5" s="184"/>
      <c r="D5" s="184"/>
      <c r="E5" s="380" t="s">
        <v>40</v>
      </c>
      <c r="F5" s="380">
        <v>2</v>
      </c>
      <c r="G5" s="185"/>
    </row>
    <row r="6" spans="1:22">
      <c r="A6" s="153" t="s">
        <v>105</v>
      </c>
      <c r="B6" s="148" t="s">
        <v>301</v>
      </c>
      <c r="C6" s="184"/>
      <c r="D6" s="184"/>
      <c r="E6" s="381" t="s">
        <v>311</v>
      </c>
      <c r="F6" s="380">
        <v>2</v>
      </c>
      <c r="G6" s="185"/>
    </row>
    <row r="7" spans="1:22" ht="25.5" customHeight="1">
      <c r="A7" s="153" t="s">
        <v>13</v>
      </c>
      <c r="B7" s="147" t="s">
        <v>300</v>
      </c>
      <c r="C7" s="184"/>
      <c r="D7" s="184"/>
      <c r="E7" s="382" t="s">
        <v>39</v>
      </c>
      <c r="F7" s="383">
        <v>4</v>
      </c>
      <c r="G7" s="185"/>
    </row>
    <row r="8" spans="1:22" ht="13.5" thickBot="1">
      <c r="A8" s="154" t="s">
        <v>14</v>
      </c>
      <c r="B8" s="149" t="s">
        <v>302</v>
      </c>
      <c r="C8" s="184" t="s">
        <v>303</v>
      </c>
      <c r="D8" s="184"/>
      <c r="E8" s="382" t="s">
        <v>2</v>
      </c>
      <c r="F8" s="383">
        <v>6</v>
      </c>
      <c r="G8" s="185"/>
    </row>
    <row r="9" spans="1:22" ht="15.75" thickBot="1">
      <c r="A9" s="186" t="s">
        <v>50</v>
      </c>
      <c r="B9" s="187"/>
      <c r="C9" s="184"/>
      <c r="D9" s="184"/>
      <c r="E9" s="382" t="s">
        <v>312</v>
      </c>
      <c r="F9" s="383">
        <v>0.5</v>
      </c>
      <c r="G9" s="185"/>
    </row>
    <row r="10" spans="1:22">
      <c r="A10" s="152" t="s">
        <v>47</v>
      </c>
      <c r="B10" s="151">
        <v>1400</v>
      </c>
      <c r="C10" s="184" t="s">
        <v>300</v>
      </c>
      <c r="D10" s="184"/>
      <c r="E10" s="136" t="s">
        <v>37</v>
      </c>
      <c r="F10" s="187">
        <f>SUM(F4:F9)</f>
        <v>17.5</v>
      </c>
      <c r="G10" s="185"/>
    </row>
    <row r="11" spans="1:22" ht="13.5" thickBot="1">
      <c r="A11" s="188"/>
      <c r="B11" s="184"/>
      <c r="C11" s="184"/>
      <c r="D11" s="184"/>
      <c r="E11" s="136"/>
      <c r="F11" s="184"/>
      <c r="G11" s="185"/>
    </row>
    <row r="12" spans="1:22" ht="15.75" thickBot="1">
      <c r="A12" s="155" t="s">
        <v>89</v>
      </c>
      <c r="B12" s="203" t="s">
        <v>0</v>
      </c>
      <c r="C12" s="203" t="s">
        <v>92</v>
      </c>
      <c r="D12" s="203" t="s">
        <v>2</v>
      </c>
      <c r="E12" s="203" t="s">
        <v>1</v>
      </c>
      <c r="F12" s="204" t="s">
        <v>91</v>
      </c>
      <c r="G12" s="185"/>
    </row>
    <row r="13" spans="1:22">
      <c r="A13" s="140" t="s">
        <v>90</v>
      </c>
      <c r="B13" s="196">
        <v>2</v>
      </c>
      <c r="C13" s="196">
        <v>2</v>
      </c>
      <c r="D13" s="196">
        <v>2</v>
      </c>
      <c r="E13" s="196">
        <v>2</v>
      </c>
      <c r="F13" s="197">
        <v>2</v>
      </c>
      <c r="G13" s="185"/>
    </row>
    <row r="14" spans="1:22">
      <c r="A14" s="157" t="s">
        <v>48</v>
      </c>
      <c r="B14" s="138">
        <v>2</v>
      </c>
      <c r="C14" s="138">
        <v>2</v>
      </c>
      <c r="D14" s="138">
        <v>2</v>
      </c>
      <c r="E14" s="138">
        <v>2</v>
      </c>
      <c r="F14" s="158">
        <v>2</v>
      </c>
      <c r="G14" s="185"/>
    </row>
    <row r="15" spans="1:22">
      <c r="A15" s="157" t="s">
        <v>49</v>
      </c>
      <c r="B15" s="137">
        <v>2</v>
      </c>
      <c r="C15" s="137">
        <v>2</v>
      </c>
      <c r="D15" s="137">
        <v>2</v>
      </c>
      <c r="E15" s="137">
        <v>2</v>
      </c>
      <c r="F15" s="159">
        <v>2</v>
      </c>
      <c r="G15" s="185"/>
    </row>
    <row r="16" spans="1:22">
      <c r="A16" s="133" t="s">
        <v>106</v>
      </c>
      <c r="B16" s="139">
        <f>B14*B15</f>
        <v>4</v>
      </c>
      <c r="C16" s="139">
        <v>4</v>
      </c>
      <c r="D16" s="139">
        <v>4</v>
      </c>
      <c r="E16" s="139">
        <v>4</v>
      </c>
      <c r="F16" s="160">
        <v>4</v>
      </c>
      <c r="G16" s="185"/>
    </row>
    <row r="17" spans="1:7" ht="25.5">
      <c r="A17" s="157" t="s">
        <v>281</v>
      </c>
      <c r="B17" s="137">
        <v>2</v>
      </c>
      <c r="C17" s="137">
        <v>2</v>
      </c>
      <c r="D17" s="137">
        <v>2</v>
      </c>
      <c r="E17" s="137">
        <v>2</v>
      </c>
      <c r="F17" s="159">
        <v>2</v>
      </c>
      <c r="G17" s="185"/>
    </row>
    <row r="18" spans="1:7" ht="13.5" thickBot="1">
      <c r="A18" s="150" t="s">
        <v>107</v>
      </c>
      <c r="B18" s="161">
        <f>B13+B16+B17</f>
        <v>8</v>
      </c>
      <c r="C18" s="161">
        <f t="shared" ref="C18:F18" si="0">C13+C16+C17</f>
        <v>8</v>
      </c>
      <c r="D18" s="161">
        <f t="shared" si="0"/>
        <v>8</v>
      </c>
      <c r="E18" s="161">
        <f t="shared" si="0"/>
        <v>8</v>
      </c>
      <c r="F18" s="162">
        <f t="shared" si="0"/>
        <v>8</v>
      </c>
      <c r="G18" s="185"/>
    </row>
    <row r="19" spans="1:7" ht="13.5" thickBot="1">
      <c r="A19" s="188"/>
      <c r="B19" s="184"/>
      <c r="C19" s="184"/>
      <c r="D19" s="184"/>
      <c r="E19" s="136"/>
      <c r="F19" s="184"/>
      <c r="G19" s="185"/>
    </row>
    <row r="20" spans="1:7" ht="29.25" customHeight="1" thickBot="1">
      <c r="A20" s="155" t="s">
        <v>93</v>
      </c>
      <c r="B20" s="216" t="s">
        <v>304</v>
      </c>
      <c r="C20" s="216"/>
      <c r="D20" s="216"/>
      <c r="E20" s="317"/>
      <c r="F20" s="318"/>
      <c r="G20" s="185"/>
    </row>
    <row r="21" spans="1:7" ht="20.25" customHeight="1">
      <c r="A21" s="163" t="s">
        <v>40</v>
      </c>
      <c r="B21" s="165">
        <v>3</v>
      </c>
      <c r="C21" s="143"/>
      <c r="D21" s="143"/>
      <c r="E21" s="320"/>
      <c r="F21" s="321"/>
      <c r="G21" s="185"/>
    </row>
    <row r="22" spans="1:7">
      <c r="A22" s="157" t="s">
        <v>38</v>
      </c>
      <c r="B22" s="141">
        <v>3</v>
      </c>
      <c r="C22" s="142"/>
      <c r="D22" s="142"/>
      <c r="E22" s="322"/>
      <c r="F22" s="323"/>
      <c r="G22" s="185"/>
    </row>
    <row r="23" spans="1:7">
      <c r="A23" s="157" t="s">
        <v>94</v>
      </c>
      <c r="B23" s="141">
        <v>3</v>
      </c>
      <c r="C23" s="142"/>
      <c r="D23" s="142"/>
      <c r="E23" s="322"/>
      <c r="F23" s="323"/>
      <c r="G23" s="319"/>
    </row>
    <row r="24" spans="1:7" ht="15.75" customHeight="1">
      <c r="A24" s="157" t="s">
        <v>39</v>
      </c>
      <c r="B24" s="141">
        <v>0</v>
      </c>
      <c r="C24" s="143"/>
      <c r="D24" s="143"/>
      <c r="E24" s="324"/>
      <c r="F24" s="325"/>
      <c r="G24" s="319"/>
    </row>
    <row r="25" spans="1:7" ht="15.75" thickBot="1">
      <c r="A25" s="179" t="s">
        <v>276</v>
      </c>
      <c r="B25" s="161">
        <f>SUM(B21:B24)</f>
        <v>9</v>
      </c>
      <c r="C25" s="164"/>
      <c r="D25" s="164"/>
      <c r="E25" s="326"/>
      <c r="F25" s="327"/>
      <c r="G25" s="319"/>
    </row>
    <row r="26" spans="1:7" ht="13.5" thickBot="1">
      <c r="A26" s="188"/>
      <c r="B26" s="184"/>
      <c r="C26" s="184"/>
      <c r="D26" s="184"/>
      <c r="E26" s="136"/>
      <c r="F26" s="184"/>
      <c r="G26" s="319"/>
    </row>
    <row r="27" spans="1:7" ht="15.75" thickBot="1">
      <c r="A27" s="170" t="s">
        <v>109</v>
      </c>
      <c r="B27" s="156" t="s">
        <v>275</v>
      </c>
      <c r="C27" s="313" t="s">
        <v>103</v>
      </c>
      <c r="D27" s="313"/>
      <c r="E27" s="313"/>
      <c r="F27" s="314"/>
      <c r="G27" s="185"/>
    </row>
    <row r="28" spans="1:7">
      <c r="A28" s="168" t="s">
        <v>42</v>
      </c>
      <c r="B28" s="166">
        <v>2</v>
      </c>
      <c r="C28" s="315"/>
      <c r="D28" s="315"/>
      <c r="E28" s="315"/>
      <c r="F28" s="316"/>
      <c r="G28" s="145"/>
    </row>
    <row r="29" spans="1:7">
      <c r="A29" s="153" t="s">
        <v>116</v>
      </c>
      <c r="B29" s="144">
        <v>3</v>
      </c>
      <c r="C29" s="331"/>
      <c r="D29" s="332"/>
      <c r="E29" s="332"/>
      <c r="F29" s="333"/>
      <c r="G29" s="145"/>
    </row>
    <row r="30" spans="1:7">
      <c r="A30" s="153" t="s">
        <v>280</v>
      </c>
      <c r="B30" s="144">
        <v>4</v>
      </c>
      <c r="C30" s="189"/>
      <c r="D30" s="190"/>
      <c r="E30" s="190"/>
      <c r="F30" s="191"/>
      <c r="G30" s="145"/>
    </row>
    <row r="31" spans="1:7">
      <c r="A31" s="153" t="s">
        <v>290</v>
      </c>
      <c r="B31" s="144">
        <v>5</v>
      </c>
      <c r="C31" s="331"/>
      <c r="D31" s="332"/>
      <c r="E31" s="332"/>
      <c r="F31" s="333"/>
      <c r="G31" s="145"/>
    </row>
    <row r="32" spans="1:7" ht="13.5" thickBot="1">
      <c r="A32" s="154" t="s">
        <v>289</v>
      </c>
      <c r="B32" s="167">
        <v>6</v>
      </c>
      <c r="C32" s="334"/>
      <c r="D32" s="335"/>
      <c r="E32" s="335"/>
      <c r="F32" s="336"/>
      <c r="G32" s="145"/>
    </row>
    <row r="33" spans="1:7">
      <c r="A33" s="188"/>
      <c r="B33" s="184"/>
      <c r="C33" s="184"/>
      <c r="D33" s="184"/>
      <c r="E33" s="184"/>
      <c r="F33" s="184"/>
      <c r="G33" s="146"/>
    </row>
    <row r="34" spans="1:7" ht="13.5" thickBot="1">
      <c r="A34" s="328"/>
      <c r="B34" s="329"/>
      <c r="C34" s="187"/>
      <c r="D34" s="187"/>
      <c r="E34" s="187"/>
      <c r="F34" s="178"/>
      <c r="G34" s="146"/>
    </row>
    <row r="35" spans="1:7" ht="15.75" thickBot="1">
      <c r="A35" s="180" t="s">
        <v>36</v>
      </c>
      <c r="B35" s="181" t="s">
        <v>101</v>
      </c>
      <c r="C35" s="181" t="s">
        <v>104</v>
      </c>
      <c r="D35" s="181" t="s">
        <v>96</v>
      </c>
      <c r="E35" s="182" t="s">
        <v>117</v>
      </c>
      <c r="F35" s="187"/>
      <c r="G35" s="185"/>
    </row>
    <row r="36" spans="1:7" ht="12.75" customHeight="1">
      <c r="A36" s="163" t="s">
        <v>93</v>
      </c>
      <c r="B36" s="192">
        <v>2</v>
      </c>
      <c r="C36" s="192">
        <v>18</v>
      </c>
      <c r="D36" s="194">
        <f>B36*C36*8*22</f>
        <v>6336</v>
      </c>
      <c r="E36" s="199">
        <f>D36*$B$10</f>
        <v>8870400</v>
      </c>
      <c r="F36" s="184"/>
      <c r="G36" s="185"/>
    </row>
    <row r="37" spans="1:7" ht="15" customHeight="1">
      <c r="A37" s="157" t="s">
        <v>97</v>
      </c>
      <c r="B37" s="174">
        <v>3</v>
      </c>
      <c r="C37" s="174">
        <v>4</v>
      </c>
      <c r="D37" s="194">
        <f t="shared" ref="D37:D42" si="1">B37*C37*8*22</f>
        <v>2112</v>
      </c>
      <c r="E37" s="199">
        <f t="shared" ref="E37:E42" si="2">D37*$B$10</f>
        <v>2956800</v>
      </c>
      <c r="F37" s="184"/>
      <c r="G37" s="185"/>
    </row>
    <row r="38" spans="1:7">
      <c r="A38" s="157" t="s">
        <v>98</v>
      </c>
      <c r="B38" s="174">
        <v>2</v>
      </c>
      <c r="C38" s="174">
        <v>5</v>
      </c>
      <c r="D38" s="194">
        <f t="shared" si="1"/>
        <v>1760</v>
      </c>
      <c r="E38" s="199">
        <f t="shared" si="2"/>
        <v>2464000</v>
      </c>
      <c r="F38" s="184"/>
      <c r="G38" s="185"/>
    </row>
    <row r="39" spans="1:7" ht="25.5">
      <c r="A39" s="157" t="s">
        <v>99</v>
      </c>
      <c r="B39" s="174">
        <v>1</v>
      </c>
      <c r="C39" s="174">
        <v>6</v>
      </c>
      <c r="D39" s="194">
        <f t="shared" si="1"/>
        <v>1056</v>
      </c>
      <c r="E39" s="199">
        <f t="shared" si="2"/>
        <v>1478400</v>
      </c>
      <c r="F39" s="184"/>
      <c r="G39" s="185"/>
    </row>
    <row r="40" spans="1:7">
      <c r="A40" s="157" t="s">
        <v>100</v>
      </c>
      <c r="B40" s="174">
        <v>3</v>
      </c>
      <c r="C40" s="174">
        <v>7</v>
      </c>
      <c r="D40" s="194">
        <f t="shared" si="1"/>
        <v>3696</v>
      </c>
      <c r="E40" s="199">
        <f t="shared" si="2"/>
        <v>5174400</v>
      </c>
      <c r="F40" s="184"/>
      <c r="G40" s="185"/>
    </row>
    <row r="41" spans="1:7">
      <c r="A41" s="157" t="s">
        <v>282</v>
      </c>
      <c r="B41" s="174">
        <v>2</v>
      </c>
      <c r="C41" s="174">
        <v>8</v>
      </c>
      <c r="D41" s="194">
        <f t="shared" si="1"/>
        <v>2816</v>
      </c>
      <c r="E41" s="199">
        <f t="shared" si="2"/>
        <v>3942400</v>
      </c>
      <c r="F41" s="184"/>
      <c r="G41" s="185"/>
    </row>
    <row r="42" spans="1:7">
      <c r="A42" s="153" t="s">
        <v>102</v>
      </c>
      <c r="B42" s="174">
        <v>3</v>
      </c>
      <c r="C42" s="174">
        <v>9</v>
      </c>
      <c r="D42" s="194">
        <f t="shared" si="1"/>
        <v>4752</v>
      </c>
      <c r="E42" s="199">
        <f t="shared" si="2"/>
        <v>6652800</v>
      </c>
      <c r="F42" s="184"/>
      <c r="G42" s="185"/>
    </row>
    <row r="43" spans="1:7" ht="13.5" thickBot="1">
      <c r="A43" s="172" t="s">
        <v>118</v>
      </c>
      <c r="B43" s="193"/>
      <c r="C43" s="193"/>
      <c r="D43" s="195">
        <f>SUM(D36:D42)</f>
        <v>22528</v>
      </c>
      <c r="E43" s="200">
        <f>SUM(E36:E42)</f>
        <v>31539200</v>
      </c>
      <c r="F43" s="184"/>
      <c r="G43" s="185"/>
    </row>
    <row r="44" spans="1:7" ht="13.5" thickBot="1">
      <c r="A44" s="188"/>
      <c r="B44" s="184"/>
      <c r="C44" s="184"/>
      <c r="D44" s="184"/>
      <c r="E44" s="184"/>
      <c r="F44" s="184"/>
      <c r="G44" s="185"/>
    </row>
    <row r="45" spans="1:7" ht="15.75" thickBot="1">
      <c r="A45" s="175" t="s">
        <v>83</v>
      </c>
      <c r="B45" s="176" t="s">
        <v>115</v>
      </c>
      <c r="C45" s="184"/>
      <c r="D45" s="220"/>
      <c r="E45" s="220"/>
      <c r="F45" s="227"/>
      <c r="G45" s="185"/>
    </row>
    <row r="46" spans="1:7" ht="24.75" customHeight="1">
      <c r="A46" s="168" t="s">
        <v>107</v>
      </c>
      <c r="B46" s="224">
        <f>B18+C18+D18+E18+F18</f>
        <v>40</v>
      </c>
      <c r="C46" s="184"/>
      <c r="D46" s="219"/>
      <c r="E46" s="221"/>
      <c r="F46" s="228"/>
      <c r="G46" s="185"/>
    </row>
    <row r="47" spans="1:7" ht="13.5" customHeight="1">
      <c r="A47" s="153" t="s">
        <v>108</v>
      </c>
      <c r="B47" s="225">
        <f>B25</f>
        <v>9</v>
      </c>
      <c r="C47" s="184"/>
      <c r="D47" s="198"/>
      <c r="E47" s="221"/>
      <c r="F47" s="229"/>
      <c r="G47" s="185"/>
    </row>
    <row r="48" spans="1:7">
      <c r="A48" s="153" t="s">
        <v>118</v>
      </c>
      <c r="B48" s="225">
        <f>E43</f>
        <v>31539200</v>
      </c>
      <c r="C48" s="184"/>
      <c r="D48" s="198"/>
      <c r="E48" s="221"/>
      <c r="F48" s="229"/>
      <c r="G48" s="185"/>
    </row>
    <row r="49" spans="1:7">
      <c r="A49" s="173" t="s">
        <v>42</v>
      </c>
      <c r="B49" s="225">
        <f>B28</f>
        <v>2</v>
      </c>
      <c r="C49" s="184"/>
      <c r="D49" s="198"/>
      <c r="E49" s="221"/>
      <c r="F49" s="229"/>
      <c r="G49" s="185"/>
    </row>
    <row r="50" spans="1:7">
      <c r="A50" s="173" t="s">
        <v>119</v>
      </c>
      <c r="B50" s="225">
        <f>B29</f>
        <v>3</v>
      </c>
      <c r="C50" s="184"/>
      <c r="D50" s="198"/>
      <c r="E50" s="223"/>
      <c r="F50" s="229"/>
      <c r="G50" s="185"/>
    </row>
    <row r="51" spans="1:7" ht="25.5">
      <c r="A51" s="153" t="s">
        <v>283</v>
      </c>
      <c r="B51" s="225">
        <f>B31</f>
        <v>5</v>
      </c>
      <c r="C51" s="184"/>
      <c r="D51" s="198"/>
      <c r="E51" s="223"/>
      <c r="F51" s="222"/>
      <c r="G51" s="185"/>
    </row>
    <row r="52" spans="1:7" ht="19.5" customHeight="1">
      <c r="A52" s="173" t="s">
        <v>121</v>
      </c>
      <c r="B52" s="225">
        <f>B30</f>
        <v>4</v>
      </c>
      <c r="C52" s="184"/>
      <c r="D52" s="198"/>
      <c r="E52" s="221"/>
      <c r="F52" s="222"/>
      <c r="G52" s="185"/>
    </row>
    <row r="53" spans="1:7">
      <c r="A53" s="173" t="s">
        <v>265</v>
      </c>
      <c r="B53" s="225">
        <f>B32</f>
        <v>6</v>
      </c>
      <c r="C53" s="184"/>
      <c r="D53" s="198"/>
      <c r="E53" s="184"/>
      <c r="F53" s="184"/>
      <c r="G53" s="185"/>
    </row>
    <row r="54" spans="1:7" ht="13.5" thickBot="1">
      <c r="A54" s="177" t="s">
        <v>305</v>
      </c>
      <c r="B54" s="226">
        <f>SUM(B46:B53)</f>
        <v>31539269</v>
      </c>
      <c r="C54" s="184"/>
      <c r="D54" s="198"/>
      <c r="E54" s="184"/>
      <c r="F54" s="184"/>
      <c r="G54" s="185"/>
    </row>
    <row r="55" spans="1:7">
      <c r="A55" s="217"/>
      <c r="B55" s="230"/>
      <c r="C55" s="184"/>
      <c r="D55" s="198"/>
      <c r="E55" s="184"/>
      <c r="F55" s="184"/>
      <c r="G55" s="185"/>
    </row>
    <row r="56" spans="1:7">
      <c r="A56" s="217"/>
      <c r="B56" s="230"/>
      <c r="C56" s="184"/>
      <c r="D56" s="198"/>
      <c r="E56" s="184"/>
      <c r="F56" s="184"/>
      <c r="G56" s="185"/>
    </row>
    <row r="57" spans="1:7">
      <c r="A57" s="217"/>
      <c r="B57" s="230"/>
      <c r="C57" s="184"/>
      <c r="D57" s="198"/>
      <c r="E57" s="184"/>
      <c r="F57" s="184"/>
      <c r="G57" s="185"/>
    </row>
    <row r="58" spans="1:7">
      <c r="A58" s="217"/>
      <c r="B58" s="230"/>
      <c r="C58" s="184"/>
      <c r="D58" s="198"/>
      <c r="E58" s="184"/>
      <c r="F58" s="184"/>
      <c r="G58" s="185"/>
    </row>
    <row r="59" spans="1:7">
      <c r="A59" s="217"/>
      <c r="B59" s="218"/>
      <c r="C59" s="337" t="s">
        <v>278</v>
      </c>
      <c r="D59" s="337"/>
      <c r="E59" s="337" t="s">
        <v>308</v>
      </c>
      <c r="F59" s="337"/>
      <c r="G59" s="185"/>
    </row>
    <row r="60" spans="1:7">
      <c r="A60" s="235" t="s">
        <v>279</v>
      </c>
      <c r="B60" s="134" t="s">
        <v>286</v>
      </c>
      <c r="C60" s="337"/>
      <c r="D60" s="337"/>
      <c r="E60" s="337"/>
      <c r="F60" s="337"/>
      <c r="G60" s="231"/>
    </row>
    <row r="61" spans="1:7" ht="13.5" thickBot="1">
      <c r="A61" s="234" t="s">
        <v>306</v>
      </c>
      <c r="B61" s="233" t="s">
        <v>307</v>
      </c>
      <c r="C61" s="330" t="s">
        <v>33</v>
      </c>
      <c r="D61" s="330"/>
      <c r="E61" s="330" t="s">
        <v>309</v>
      </c>
      <c r="F61" s="330"/>
      <c r="G61" s="232"/>
    </row>
  </sheetData>
  <sheetProtection formatCells="0" formatColumns="0" formatRows="0" insertColumns="0" insertRows="0" insertHyperlinks="0" deleteColumns="0" deleteRows="0" sort="0" autoFilter="0" pivotTables="0"/>
  <mergeCells count="19">
    <mergeCell ref="A34:B34"/>
    <mergeCell ref="E61:F61"/>
    <mergeCell ref="C29:F29"/>
    <mergeCell ref="C31:F31"/>
    <mergeCell ref="C32:F32"/>
    <mergeCell ref="E59:F60"/>
    <mergeCell ref="C59:D60"/>
    <mergeCell ref="C61:D61"/>
    <mergeCell ref="A1:G2"/>
    <mergeCell ref="K1:V1"/>
    <mergeCell ref="C27:F27"/>
    <mergeCell ref="C28:F28"/>
    <mergeCell ref="E20:F20"/>
    <mergeCell ref="G23:G26"/>
    <mergeCell ref="E21:F21"/>
    <mergeCell ref="E22:F22"/>
    <mergeCell ref="E23:F23"/>
    <mergeCell ref="E24:F24"/>
    <mergeCell ref="E25:F25"/>
  </mergeCells>
  <dataValidations count="2">
    <dataValidation type="decimal" allowBlank="1" showInputMessage="1" showErrorMessage="1" errorTitle="Number only no text" error="Please enter valid number. No text!" sqref="B28:B32">
      <formula1>0</formula1>
      <formula2>1E+24</formula2>
    </dataValidation>
    <dataValidation type="decimal" allowBlank="1" showInputMessage="1" showErrorMessage="1" errorTitle="Only number no text" error="Please enter valid number. No text!" sqref="D15:F16 D18:F18 B13:C18 B21:B26">
      <formula1>0</formula1>
      <formula2>1E+21</formula2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horizontalDpi="300" verticalDpi="300" r:id="rId1"/>
  <headerFoot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LIst!#REF!</xm:f>
          </x14:formula1>
          <xm:sqref>B14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02"/>
  <sheetViews>
    <sheetView zoomScaleNormal="100" workbookViewId="0">
      <pane xSplit="3" ySplit="2" topLeftCell="D84" activePane="bottomRight" state="frozen"/>
      <selection pane="topRight" activeCell="D1" sqref="D1"/>
      <selection pane="bottomLeft" activeCell="A5" sqref="A5"/>
      <selection pane="bottomRight" activeCell="U98" sqref="U98"/>
    </sheetView>
  </sheetViews>
  <sheetFormatPr defaultRowHeight="15"/>
  <cols>
    <col min="1" max="1" width="2.28515625" style="60" customWidth="1"/>
    <col min="2" max="2" width="9.140625" style="59"/>
    <col min="3" max="3" width="56.140625" style="60" customWidth="1"/>
    <col min="4" max="4" width="18.42578125" style="61" customWidth="1"/>
    <col min="5" max="12" width="3.85546875" style="61" customWidth="1"/>
    <col min="13" max="18" width="3.7109375" style="61" customWidth="1"/>
    <col min="19" max="19" width="7.42578125" style="61" customWidth="1"/>
    <col min="20" max="20" width="9.140625" style="60"/>
    <col min="21" max="21" width="10.42578125" style="60" bestFit="1" customWidth="1"/>
    <col min="22" max="16384" width="9.140625" style="60"/>
  </cols>
  <sheetData>
    <row r="1" spans="2:21" ht="6" customHeight="1"/>
    <row r="2" spans="2:21" ht="24">
      <c r="B2" s="62" t="s">
        <v>122</v>
      </c>
      <c r="C2" s="62" t="s">
        <v>123</v>
      </c>
      <c r="D2" s="62" t="s">
        <v>124</v>
      </c>
      <c r="E2" s="338" t="s">
        <v>125</v>
      </c>
      <c r="F2" s="338"/>
      <c r="G2" s="338"/>
      <c r="H2" s="338"/>
      <c r="I2" s="338"/>
      <c r="J2" s="338" t="s">
        <v>126</v>
      </c>
      <c r="K2" s="338"/>
      <c r="L2" s="338"/>
      <c r="M2" s="338"/>
      <c r="N2" s="338"/>
      <c r="O2" s="338"/>
      <c r="P2" s="338"/>
      <c r="Q2" s="338"/>
      <c r="R2" s="338"/>
      <c r="S2" s="63" t="s">
        <v>127</v>
      </c>
      <c r="T2" s="63" t="s">
        <v>128</v>
      </c>
      <c r="U2" s="63" t="s">
        <v>129</v>
      </c>
    </row>
    <row r="3" spans="2:21">
      <c r="B3" s="64"/>
      <c r="C3" s="65" t="s">
        <v>130</v>
      </c>
      <c r="D3" s="66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9"/>
      <c r="T3" s="70"/>
      <c r="U3" s="70"/>
    </row>
    <row r="4" spans="2:21">
      <c r="B4" s="64">
        <v>1</v>
      </c>
      <c r="C4" s="71" t="s">
        <v>131</v>
      </c>
      <c r="D4" s="72" t="s">
        <v>132</v>
      </c>
      <c r="E4" s="73" t="s">
        <v>133</v>
      </c>
      <c r="F4" s="73" t="s">
        <v>133</v>
      </c>
      <c r="G4" s="73" t="s">
        <v>133</v>
      </c>
      <c r="H4" s="73" t="s">
        <v>133</v>
      </c>
      <c r="I4" s="73" t="s">
        <v>133</v>
      </c>
      <c r="J4" s="74">
        <v>2</v>
      </c>
      <c r="K4" s="74">
        <v>3</v>
      </c>
      <c r="L4" s="74">
        <v>5</v>
      </c>
      <c r="M4" s="74">
        <v>6</v>
      </c>
      <c r="N4" s="74"/>
      <c r="O4" s="74"/>
      <c r="P4" s="74"/>
      <c r="Q4" s="74"/>
      <c r="R4" s="74"/>
      <c r="S4" s="75">
        <v>1</v>
      </c>
      <c r="T4" s="70"/>
      <c r="U4" s="70"/>
    </row>
    <row r="5" spans="2:21">
      <c r="B5" s="64">
        <v>2</v>
      </c>
      <c r="C5" s="71" t="s">
        <v>134</v>
      </c>
      <c r="D5" s="72" t="s">
        <v>135</v>
      </c>
      <c r="E5" s="73">
        <v>1</v>
      </c>
      <c r="F5" s="73" t="s">
        <v>133</v>
      </c>
      <c r="G5" s="73" t="s">
        <v>133</v>
      </c>
      <c r="H5" s="73" t="s">
        <v>133</v>
      </c>
      <c r="I5" s="73" t="s">
        <v>133</v>
      </c>
      <c r="J5" s="74">
        <v>4</v>
      </c>
      <c r="K5" s="74"/>
      <c r="L5" s="74"/>
      <c r="M5" s="74"/>
      <c r="N5" s="74"/>
      <c r="O5" s="74"/>
      <c r="P5" s="74"/>
      <c r="Q5" s="74"/>
      <c r="R5" s="74"/>
      <c r="S5" s="75">
        <v>25</v>
      </c>
      <c r="T5" s="70"/>
      <c r="U5" s="70"/>
    </row>
    <row r="6" spans="2:21">
      <c r="B6" s="64">
        <v>3</v>
      </c>
      <c r="C6" s="71" t="s">
        <v>136</v>
      </c>
      <c r="D6" s="72" t="s">
        <v>137</v>
      </c>
      <c r="E6" s="73">
        <v>1</v>
      </c>
      <c r="F6" s="73" t="s">
        <v>133</v>
      </c>
      <c r="G6" s="73" t="s">
        <v>133</v>
      </c>
      <c r="H6" s="73" t="s">
        <v>133</v>
      </c>
      <c r="I6" s="73" t="s">
        <v>133</v>
      </c>
      <c r="J6" s="74">
        <v>4</v>
      </c>
      <c r="K6" s="74"/>
      <c r="L6" s="74"/>
      <c r="M6" s="74"/>
      <c r="N6" s="74"/>
      <c r="O6" s="74"/>
      <c r="P6" s="74"/>
      <c r="Q6" s="74"/>
      <c r="R6" s="74"/>
      <c r="S6" s="75">
        <v>1</v>
      </c>
      <c r="T6" s="70"/>
      <c r="U6" s="70"/>
    </row>
    <row r="7" spans="2:21" ht="16.5" customHeight="1">
      <c r="B7" s="64">
        <v>4</v>
      </c>
      <c r="C7" s="71" t="s">
        <v>138</v>
      </c>
      <c r="D7" s="72" t="s">
        <v>139</v>
      </c>
      <c r="E7" s="73">
        <v>2</v>
      </c>
      <c r="F7" s="73">
        <v>3</v>
      </c>
      <c r="G7" s="73" t="s">
        <v>133</v>
      </c>
      <c r="H7" s="73" t="s">
        <v>133</v>
      </c>
      <c r="I7" s="73" t="s">
        <v>133</v>
      </c>
      <c r="J7" s="74">
        <v>7</v>
      </c>
      <c r="K7" s="74"/>
      <c r="L7" s="74"/>
      <c r="M7" s="74"/>
      <c r="N7" s="74"/>
      <c r="O7" s="74"/>
      <c r="P7" s="74"/>
      <c r="Q7" s="74"/>
      <c r="R7" s="74"/>
      <c r="S7" s="75">
        <v>45</v>
      </c>
      <c r="T7" s="70"/>
      <c r="U7" s="70"/>
    </row>
    <row r="8" spans="2:21">
      <c r="B8" s="64">
        <v>5</v>
      </c>
      <c r="C8" s="71" t="s">
        <v>140</v>
      </c>
      <c r="D8" s="72" t="s">
        <v>141</v>
      </c>
      <c r="E8" s="73">
        <v>1</v>
      </c>
      <c r="F8" s="73" t="s">
        <v>133</v>
      </c>
      <c r="G8" s="73" t="s">
        <v>133</v>
      </c>
      <c r="H8" s="73" t="s">
        <v>133</v>
      </c>
      <c r="I8" s="73" t="s">
        <v>133</v>
      </c>
      <c r="J8" s="74">
        <v>7</v>
      </c>
      <c r="K8" s="74"/>
      <c r="L8" s="74"/>
      <c r="M8" s="74"/>
      <c r="N8" s="74"/>
      <c r="O8" s="74"/>
      <c r="P8" s="74"/>
      <c r="Q8" s="74"/>
      <c r="R8" s="74"/>
      <c r="S8" s="76">
        <v>21</v>
      </c>
      <c r="T8" s="70"/>
      <c r="U8" s="70"/>
    </row>
    <row r="9" spans="2:21">
      <c r="B9" s="64">
        <v>6</v>
      </c>
      <c r="C9" s="71" t="s">
        <v>142</v>
      </c>
      <c r="D9" s="72" t="s">
        <v>143</v>
      </c>
      <c r="E9" s="73">
        <v>1</v>
      </c>
      <c r="F9" s="73" t="s">
        <v>133</v>
      </c>
      <c r="G9" s="73" t="s">
        <v>133</v>
      </c>
      <c r="H9" s="73" t="s">
        <v>133</v>
      </c>
      <c r="I9" s="73" t="s">
        <v>133</v>
      </c>
      <c r="J9" s="74"/>
      <c r="K9" s="74"/>
      <c r="L9" s="74"/>
      <c r="M9" s="74"/>
      <c r="N9" s="74"/>
      <c r="O9" s="74"/>
      <c r="P9" s="74"/>
      <c r="Q9" s="74"/>
      <c r="R9" s="74"/>
      <c r="S9" s="76">
        <v>20</v>
      </c>
      <c r="T9" s="70"/>
      <c r="U9" s="70"/>
    </row>
    <row r="10" spans="2:21">
      <c r="B10" s="64"/>
      <c r="C10" s="65" t="s">
        <v>144</v>
      </c>
      <c r="D10" s="66"/>
      <c r="E10" s="67"/>
      <c r="F10" s="67"/>
      <c r="G10" s="67"/>
      <c r="H10" s="67"/>
      <c r="I10" s="67"/>
      <c r="J10" s="68"/>
      <c r="K10" s="68"/>
      <c r="L10" s="68"/>
      <c r="M10" s="68"/>
      <c r="N10" s="68"/>
      <c r="O10" s="68"/>
      <c r="P10" s="68"/>
      <c r="Q10" s="68"/>
      <c r="R10" s="68"/>
      <c r="S10" s="69"/>
      <c r="T10" s="70"/>
      <c r="U10" s="70"/>
    </row>
    <row r="11" spans="2:21">
      <c r="B11" s="64">
        <v>7</v>
      </c>
      <c r="C11" s="71" t="s">
        <v>145</v>
      </c>
      <c r="D11" s="72" t="s">
        <v>146</v>
      </c>
      <c r="E11" s="73">
        <v>4</v>
      </c>
      <c r="F11" s="73">
        <v>5</v>
      </c>
      <c r="G11" s="73"/>
      <c r="H11" s="73"/>
      <c r="I11" s="73"/>
      <c r="J11" s="74">
        <v>8</v>
      </c>
      <c r="K11" s="74"/>
      <c r="L11" s="74"/>
      <c r="M11" s="74"/>
      <c r="N11" s="74"/>
      <c r="O11" s="74"/>
      <c r="P11" s="74"/>
      <c r="Q11" s="74"/>
      <c r="R11" s="74"/>
      <c r="S11" s="77">
        <v>80</v>
      </c>
      <c r="T11" s="70"/>
      <c r="U11" s="70"/>
    </row>
    <row r="12" spans="2:21">
      <c r="B12" s="64">
        <v>8</v>
      </c>
      <c r="C12" s="71" t="s">
        <v>147</v>
      </c>
      <c r="D12" s="72" t="s">
        <v>146</v>
      </c>
      <c r="E12" s="73">
        <v>7</v>
      </c>
      <c r="F12" s="73"/>
      <c r="G12" s="73"/>
      <c r="H12" s="73"/>
      <c r="I12" s="73"/>
      <c r="J12" s="74">
        <v>9</v>
      </c>
      <c r="K12" s="74"/>
      <c r="L12" s="74"/>
      <c r="M12" s="74"/>
      <c r="N12" s="74"/>
      <c r="O12" s="74"/>
      <c r="P12" s="74"/>
      <c r="Q12" s="74"/>
      <c r="R12" s="74"/>
      <c r="S12" s="77">
        <v>10</v>
      </c>
      <c r="T12" s="70"/>
      <c r="U12" s="70"/>
    </row>
    <row r="13" spans="2:21">
      <c r="B13" s="64">
        <v>9</v>
      </c>
      <c r="C13" s="71" t="s">
        <v>148</v>
      </c>
      <c r="D13" s="72" t="s">
        <v>0</v>
      </c>
      <c r="E13" s="73">
        <v>8</v>
      </c>
      <c r="F13" s="73"/>
      <c r="G13" s="73"/>
      <c r="H13" s="73"/>
      <c r="I13" s="73"/>
      <c r="J13" s="74">
        <v>11</v>
      </c>
      <c r="K13" s="74">
        <v>13</v>
      </c>
      <c r="L13" s="74">
        <v>16</v>
      </c>
      <c r="M13" s="74"/>
      <c r="N13" s="74"/>
      <c r="O13" s="74"/>
      <c r="P13" s="74"/>
      <c r="Q13" s="74"/>
      <c r="R13" s="74"/>
      <c r="S13" s="77">
        <v>30</v>
      </c>
      <c r="T13" s="70"/>
      <c r="U13" s="70"/>
    </row>
    <row r="14" spans="2:21">
      <c r="B14" s="64">
        <v>10</v>
      </c>
      <c r="C14" s="71" t="s">
        <v>149</v>
      </c>
      <c r="D14" s="72" t="s">
        <v>150</v>
      </c>
      <c r="E14" s="73">
        <v>7</v>
      </c>
      <c r="F14" s="73">
        <v>9</v>
      </c>
      <c r="G14" s="73"/>
      <c r="H14" s="73"/>
      <c r="I14" s="73"/>
      <c r="J14" s="74">
        <v>11</v>
      </c>
      <c r="K14" s="74">
        <v>18</v>
      </c>
      <c r="L14" s="74"/>
      <c r="M14" s="74"/>
      <c r="N14" s="74"/>
      <c r="O14" s="74"/>
      <c r="P14" s="74"/>
      <c r="Q14" s="74"/>
      <c r="R14" s="74"/>
      <c r="S14" s="77">
        <v>2</v>
      </c>
      <c r="T14" s="70"/>
      <c r="U14" s="70"/>
    </row>
    <row r="15" spans="2:21">
      <c r="B15" s="64"/>
      <c r="C15" s="65" t="s">
        <v>151</v>
      </c>
      <c r="D15" s="66"/>
      <c r="E15" s="67"/>
      <c r="F15" s="67"/>
      <c r="G15" s="67"/>
      <c r="H15" s="67"/>
      <c r="I15" s="67"/>
      <c r="J15" s="68"/>
      <c r="K15" s="68"/>
      <c r="L15" s="68"/>
      <c r="M15" s="68"/>
      <c r="N15" s="68"/>
      <c r="O15" s="68"/>
      <c r="P15" s="68"/>
      <c r="Q15" s="68"/>
      <c r="R15" s="68"/>
      <c r="S15" s="69"/>
      <c r="T15" s="70"/>
      <c r="U15" s="70"/>
    </row>
    <row r="16" spans="2:21">
      <c r="B16" s="64"/>
      <c r="C16" s="78" t="s">
        <v>152</v>
      </c>
      <c r="D16" s="66"/>
      <c r="E16" s="67"/>
      <c r="F16" s="67"/>
      <c r="G16" s="67"/>
      <c r="H16" s="67"/>
      <c r="I16" s="67"/>
      <c r="J16" s="68"/>
      <c r="K16" s="68"/>
      <c r="L16" s="68"/>
      <c r="M16" s="68"/>
      <c r="N16" s="68"/>
      <c r="O16" s="68"/>
      <c r="P16" s="68"/>
      <c r="Q16" s="68"/>
      <c r="R16" s="68"/>
      <c r="S16" s="69"/>
      <c r="T16" s="70"/>
      <c r="U16" s="70"/>
    </row>
    <row r="17" spans="2:21">
      <c r="B17" s="64">
        <v>11</v>
      </c>
      <c r="C17" s="71" t="s">
        <v>153</v>
      </c>
      <c r="D17" s="72" t="s">
        <v>139</v>
      </c>
      <c r="E17" s="73">
        <v>9</v>
      </c>
      <c r="F17" s="73">
        <v>10</v>
      </c>
      <c r="G17" s="73"/>
      <c r="H17" s="73"/>
      <c r="I17" s="73"/>
      <c r="J17" s="74">
        <v>12</v>
      </c>
      <c r="K17" s="74"/>
      <c r="L17" s="74"/>
      <c r="M17" s="74"/>
      <c r="N17" s="74"/>
      <c r="O17" s="74"/>
      <c r="P17" s="74"/>
      <c r="Q17" s="74"/>
      <c r="R17" s="74"/>
      <c r="S17" s="77">
        <v>30</v>
      </c>
      <c r="T17" s="70"/>
      <c r="U17" s="70"/>
    </row>
    <row r="18" spans="2:21" ht="23.25">
      <c r="B18" s="64">
        <v>12</v>
      </c>
      <c r="C18" s="71" t="s">
        <v>154</v>
      </c>
      <c r="D18" s="72" t="s">
        <v>155</v>
      </c>
      <c r="E18" s="73">
        <v>11</v>
      </c>
      <c r="F18" s="73"/>
      <c r="G18" s="73"/>
      <c r="H18" s="73"/>
      <c r="I18" s="73"/>
      <c r="J18" s="74"/>
      <c r="K18" s="74"/>
      <c r="L18" s="74"/>
      <c r="M18" s="74"/>
      <c r="N18" s="74"/>
      <c r="O18" s="74"/>
      <c r="P18" s="74"/>
      <c r="Q18" s="74"/>
      <c r="R18" s="74"/>
      <c r="S18" s="77">
        <v>15</v>
      </c>
      <c r="T18" s="70"/>
      <c r="U18" s="70"/>
    </row>
    <row r="19" spans="2:21">
      <c r="B19" s="64"/>
      <c r="C19" s="78" t="s">
        <v>156</v>
      </c>
      <c r="D19" s="66"/>
      <c r="E19" s="67"/>
      <c r="F19" s="67"/>
      <c r="G19" s="67"/>
      <c r="H19" s="67"/>
      <c r="I19" s="67"/>
      <c r="J19" s="68"/>
      <c r="K19" s="68"/>
      <c r="L19" s="68"/>
      <c r="M19" s="68"/>
      <c r="N19" s="68"/>
      <c r="O19" s="68"/>
      <c r="P19" s="68"/>
      <c r="Q19" s="68"/>
      <c r="R19" s="68"/>
      <c r="S19" s="69"/>
      <c r="T19" s="70"/>
      <c r="U19" s="70"/>
    </row>
    <row r="20" spans="2:21">
      <c r="B20" s="64">
        <v>13</v>
      </c>
      <c r="C20" s="71" t="s">
        <v>157</v>
      </c>
      <c r="D20" s="72" t="s">
        <v>158</v>
      </c>
      <c r="E20" s="73">
        <v>9</v>
      </c>
      <c r="F20" s="73"/>
      <c r="G20" s="73"/>
      <c r="H20" s="73"/>
      <c r="I20" s="73"/>
      <c r="J20" s="74">
        <v>14</v>
      </c>
      <c r="K20" s="74"/>
      <c r="L20" s="74"/>
      <c r="M20" s="74"/>
      <c r="N20" s="74"/>
      <c r="O20" s="74"/>
      <c r="P20" s="74"/>
      <c r="Q20" s="74"/>
      <c r="R20" s="74"/>
      <c r="S20" s="77">
        <v>30</v>
      </c>
      <c r="T20" s="70"/>
      <c r="U20" s="70"/>
    </row>
    <row r="21" spans="2:21">
      <c r="B21" s="64">
        <v>14</v>
      </c>
      <c r="C21" s="71" t="s">
        <v>159</v>
      </c>
      <c r="D21" s="72" t="s">
        <v>158</v>
      </c>
      <c r="E21" s="73">
        <v>13</v>
      </c>
      <c r="F21" s="73"/>
      <c r="G21" s="73"/>
      <c r="H21" s="73"/>
      <c r="I21" s="73"/>
      <c r="J21" s="74">
        <v>15</v>
      </c>
      <c r="K21" s="74"/>
      <c r="L21" s="74"/>
      <c r="M21" s="74"/>
      <c r="N21" s="74"/>
      <c r="O21" s="74"/>
      <c r="P21" s="74"/>
      <c r="Q21" s="74"/>
      <c r="R21" s="74"/>
      <c r="S21" s="77">
        <v>10</v>
      </c>
      <c r="T21" s="70"/>
      <c r="U21" s="70"/>
    </row>
    <row r="22" spans="2:21">
      <c r="B22" s="64">
        <v>15</v>
      </c>
      <c r="C22" s="71" t="s">
        <v>160</v>
      </c>
      <c r="D22" s="72" t="s">
        <v>158</v>
      </c>
      <c r="E22" s="73">
        <v>14</v>
      </c>
      <c r="F22" s="73"/>
      <c r="G22" s="73"/>
      <c r="H22" s="73"/>
      <c r="I22" s="73"/>
      <c r="J22" s="74">
        <v>16</v>
      </c>
      <c r="K22" s="74"/>
      <c r="L22" s="74"/>
      <c r="M22" s="74"/>
      <c r="N22" s="74"/>
      <c r="O22" s="74"/>
      <c r="P22" s="74"/>
      <c r="Q22" s="74"/>
      <c r="R22" s="74"/>
      <c r="S22" s="77">
        <v>5</v>
      </c>
      <c r="T22" s="70"/>
      <c r="U22" s="70"/>
    </row>
    <row r="23" spans="2:21">
      <c r="B23" s="64">
        <v>16</v>
      </c>
      <c r="C23" s="79" t="s">
        <v>161</v>
      </c>
      <c r="D23" s="72" t="s">
        <v>0</v>
      </c>
      <c r="E23" s="73">
        <v>9</v>
      </c>
      <c r="F23" s="73">
        <v>15</v>
      </c>
      <c r="G23" s="73"/>
      <c r="H23" s="73"/>
      <c r="I23" s="73"/>
      <c r="J23" s="74">
        <v>17</v>
      </c>
      <c r="K23" s="74"/>
      <c r="L23" s="74"/>
      <c r="M23" s="74"/>
      <c r="N23" s="74"/>
      <c r="O23" s="74"/>
      <c r="P23" s="74"/>
      <c r="Q23" s="74"/>
      <c r="R23" s="74"/>
      <c r="S23" s="77">
        <v>30</v>
      </c>
      <c r="T23" s="70"/>
      <c r="U23" s="70"/>
    </row>
    <row r="24" spans="2:21">
      <c r="B24" s="64">
        <v>17</v>
      </c>
      <c r="C24" s="71" t="s">
        <v>162</v>
      </c>
      <c r="D24" s="72" t="s">
        <v>163</v>
      </c>
      <c r="E24" s="73">
        <v>16</v>
      </c>
      <c r="F24" s="73"/>
      <c r="G24" s="73"/>
      <c r="H24" s="73"/>
      <c r="I24" s="73"/>
      <c r="J24" s="74"/>
      <c r="K24" s="74"/>
      <c r="L24" s="74"/>
      <c r="M24" s="74"/>
      <c r="N24" s="74"/>
      <c r="O24" s="74"/>
      <c r="P24" s="74"/>
      <c r="Q24" s="74"/>
      <c r="R24" s="74"/>
      <c r="S24" s="77">
        <v>180</v>
      </c>
      <c r="T24" s="70"/>
      <c r="U24" s="70"/>
    </row>
    <row r="25" spans="2:21">
      <c r="B25" s="64"/>
      <c r="C25" s="78" t="s">
        <v>164</v>
      </c>
      <c r="D25" s="66"/>
      <c r="E25" s="67"/>
      <c r="F25" s="67"/>
      <c r="G25" s="67"/>
      <c r="H25" s="67"/>
      <c r="I25" s="67"/>
      <c r="J25" s="68"/>
      <c r="K25" s="68"/>
      <c r="L25" s="68"/>
      <c r="M25" s="68"/>
      <c r="N25" s="68"/>
      <c r="O25" s="68"/>
      <c r="P25" s="68"/>
      <c r="Q25" s="68"/>
      <c r="R25" s="68"/>
      <c r="S25" s="69"/>
      <c r="T25" s="70"/>
      <c r="U25" s="70"/>
    </row>
    <row r="26" spans="2:21">
      <c r="B26" s="64">
        <v>18</v>
      </c>
      <c r="C26" s="71" t="s">
        <v>165</v>
      </c>
      <c r="D26" s="72" t="s">
        <v>146</v>
      </c>
      <c r="E26" s="73">
        <v>10</v>
      </c>
      <c r="F26" s="73">
        <v>16</v>
      </c>
      <c r="G26" s="73"/>
      <c r="H26" s="73"/>
      <c r="I26" s="73"/>
      <c r="J26" s="74"/>
      <c r="K26" s="74"/>
      <c r="L26" s="74"/>
      <c r="M26" s="74"/>
      <c r="N26" s="74"/>
      <c r="O26" s="74"/>
      <c r="P26" s="74"/>
      <c r="Q26" s="74"/>
      <c r="R26" s="74"/>
      <c r="S26" s="77">
        <v>15</v>
      </c>
      <c r="T26" s="70"/>
      <c r="U26" s="70"/>
    </row>
    <row r="27" spans="2:21">
      <c r="B27" s="64">
        <v>19</v>
      </c>
      <c r="C27" s="71" t="s">
        <v>166</v>
      </c>
      <c r="D27" s="72" t="s">
        <v>167</v>
      </c>
      <c r="E27" s="73">
        <v>18</v>
      </c>
      <c r="F27" s="73"/>
      <c r="G27" s="73"/>
      <c r="H27" s="73"/>
      <c r="I27" s="73"/>
      <c r="J27" s="74">
        <v>20</v>
      </c>
      <c r="K27" s="74"/>
      <c r="L27" s="74"/>
      <c r="M27" s="74"/>
      <c r="N27" s="74"/>
      <c r="O27" s="74"/>
      <c r="P27" s="74"/>
      <c r="Q27" s="74"/>
      <c r="R27" s="74"/>
      <c r="S27" s="77">
        <v>15</v>
      </c>
      <c r="T27" s="70"/>
      <c r="U27" s="70"/>
    </row>
    <row r="28" spans="2:21">
      <c r="B28" s="64">
        <v>20</v>
      </c>
      <c r="C28" s="71" t="s">
        <v>168</v>
      </c>
      <c r="D28" s="72" t="s">
        <v>0</v>
      </c>
      <c r="E28" s="73">
        <v>19</v>
      </c>
      <c r="F28" s="73"/>
      <c r="G28" s="73"/>
      <c r="H28" s="73"/>
      <c r="I28" s="73"/>
      <c r="J28" s="74">
        <v>21</v>
      </c>
      <c r="K28" s="74"/>
      <c r="L28" s="74"/>
      <c r="M28" s="74"/>
      <c r="N28" s="74"/>
      <c r="O28" s="74"/>
      <c r="P28" s="74"/>
      <c r="Q28" s="74"/>
      <c r="R28" s="74"/>
      <c r="S28" s="77">
        <v>20</v>
      </c>
      <c r="T28" s="70"/>
      <c r="U28" s="70"/>
    </row>
    <row r="29" spans="2:21">
      <c r="B29" s="64">
        <v>21</v>
      </c>
      <c r="C29" s="71" t="s">
        <v>169</v>
      </c>
      <c r="D29" s="72" t="s">
        <v>0</v>
      </c>
      <c r="E29" s="73">
        <v>20</v>
      </c>
      <c r="F29" s="73"/>
      <c r="G29" s="73"/>
      <c r="H29" s="73"/>
      <c r="I29" s="73"/>
      <c r="J29" s="74">
        <v>22</v>
      </c>
      <c r="K29" s="74"/>
      <c r="L29" s="74"/>
      <c r="M29" s="74"/>
      <c r="N29" s="74"/>
      <c r="O29" s="74"/>
      <c r="P29" s="74"/>
      <c r="Q29" s="74"/>
      <c r="R29" s="74"/>
      <c r="S29" s="77">
        <v>10</v>
      </c>
      <c r="T29" s="70"/>
      <c r="U29" s="70"/>
    </row>
    <row r="30" spans="2:21">
      <c r="B30" s="64"/>
      <c r="C30" s="65" t="s">
        <v>170</v>
      </c>
      <c r="D30" s="66"/>
      <c r="E30" s="67"/>
      <c r="F30" s="67"/>
      <c r="G30" s="67"/>
      <c r="H30" s="67"/>
      <c r="I30" s="67"/>
      <c r="J30" s="68"/>
      <c r="K30" s="68"/>
      <c r="L30" s="68"/>
      <c r="M30" s="68"/>
      <c r="N30" s="68"/>
      <c r="O30" s="68"/>
      <c r="P30" s="68"/>
      <c r="Q30" s="68"/>
      <c r="R30" s="68"/>
      <c r="S30" s="69"/>
      <c r="T30" s="70"/>
      <c r="U30" s="70"/>
    </row>
    <row r="31" spans="2:21">
      <c r="B31" s="64"/>
      <c r="C31" s="80" t="s">
        <v>171</v>
      </c>
      <c r="D31" s="66"/>
      <c r="E31" s="67"/>
      <c r="F31" s="67"/>
      <c r="G31" s="67"/>
      <c r="H31" s="67"/>
      <c r="I31" s="67"/>
      <c r="J31" s="68"/>
      <c r="K31" s="68"/>
      <c r="L31" s="68"/>
      <c r="M31" s="68"/>
      <c r="N31" s="68"/>
      <c r="O31" s="68"/>
      <c r="P31" s="68"/>
      <c r="Q31" s="68"/>
      <c r="R31" s="68"/>
      <c r="S31" s="69"/>
      <c r="T31" s="70"/>
      <c r="U31" s="70"/>
    </row>
    <row r="32" spans="2:21">
      <c r="B32" s="64">
        <v>22</v>
      </c>
      <c r="C32" s="81" t="s">
        <v>172</v>
      </c>
      <c r="D32" s="72" t="s">
        <v>146</v>
      </c>
      <c r="E32" s="73">
        <v>21</v>
      </c>
      <c r="F32" s="73"/>
      <c r="G32" s="73"/>
      <c r="H32" s="73"/>
      <c r="I32" s="73"/>
      <c r="J32" s="74">
        <v>23</v>
      </c>
      <c r="K32" s="74">
        <v>24</v>
      </c>
      <c r="L32" s="74"/>
      <c r="M32" s="74"/>
      <c r="N32" s="74"/>
      <c r="O32" s="74"/>
      <c r="P32" s="74"/>
      <c r="Q32" s="74"/>
      <c r="R32" s="74"/>
      <c r="S32" s="77">
        <v>20</v>
      </c>
      <c r="T32" s="70"/>
      <c r="U32" s="70"/>
    </row>
    <row r="33" spans="2:21">
      <c r="B33" s="64">
        <v>23</v>
      </c>
      <c r="C33" s="81" t="s">
        <v>173</v>
      </c>
      <c r="D33" s="72" t="s">
        <v>174</v>
      </c>
      <c r="E33" s="73">
        <v>22</v>
      </c>
      <c r="F33" s="73"/>
      <c r="G33" s="73"/>
      <c r="H33" s="73"/>
      <c r="I33" s="73"/>
      <c r="J33" s="74">
        <v>25</v>
      </c>
      <c r="K33" s="74"/>
      <c r="L33" s="74"/>
      <c r="M33" s="74"/>
      <c r="N33" s="74"/>
      <c r="O33" s="74"/>
      <c r="P33" s="74"/>
      <c r="Q33" s="74"/>
      <c r="R33" s="74"/>
      <c r="S33" s="77">
        <v>10</v>
      </c>
      <c r="T33" s="70"/>
      <c r="U33" s="70"/>
    </row>
    <row r="34" spans="2:21">
      <c r="B34" s="64">
        <v>24</v>
      </c>
      <c r="C34" s="81" t="s">
        <v>175</v>
      </c>
      <c r="D34" s="72" t="s">
        <v>176</v>
      </c>
      <c r="E34" s="73">
        <v>22</v>
      </c>
      <c r="F34" s="73"/>
      <c r="G34" s="73"/>
      <c r="H34" s="73"/>
      <c r="I34" s="73"/>
      <c r="J34" s="74">
        <v>25</v>
      </c>
      <c r="K34" s="74">
        <v>26</v>
      </c>
      <c r="L34" s="74">
        <v>37</v>
      </c>
      <c r="M34" s="74"/>
      <c r="N34" s="74"/>
      <c r="O34" s="74"/>
      <c r="P34" s="74"/>
      <c r="Q34" s="74"/>
      <c r="R34" s="74"/>
      <c r="S34" s="77">
        <v>10</v>
      </c>
      <c r="T34" s="70"/>
      <c r="U34" s="70"/>
    </row>
    <row r="35" spans="2:21">
      <c r="B35" s="64"/>
      <c r="C35" s="80" t="s">
        <v>177</v>
      </c>
      <c r="D35" s="72"/>
      <c r="E35" s="73"/>
      <c r="F35" s="73"/>
      <c r="G35" s="73"/>
      <c r="H35" s="73"/>
      <c r="I35" s="73"/>
      <c r="J35" s="74"/>
      <c r="K35" s="74"/>
      <c r="L35" s="74"/>
      <c r="M35" s="74"/>
      <c r="N35" s="74"/>
      <c r="O35" s="74"/>
      <c r="P35" s="74"/>
      <c r="Q35" s="74"/>
      <c r="R35" s="74"/>
      <c r="S35" s="77"/>
      <c r="T35" s="70"/>
      <c r="U35" s="70"/>
    </row>
    <row r="36" spans="2:21">
      <c r="B36" s="64">
        <v>25</v>
      </c>
      <c r="C36" s="81" t="s">
        <v>178</v>
      </c>
      <c r="D36" s="72" t="s">
        <v>179</v>
      </c>
      <c r="E36" s="82">
        <v>23</v>
      </c>
      <c r="F36" s="83"/>
      <c r="G36" s="83"/>
      <c r="H36" s="83"/>
      <c r="I36" s="83"/>
      <c r="J36" s="84">
        <v>31</v>
      </c>
      <c r="K36" s="85">
        <v>39</v>
      </c>
      <c r="L36" s="85">
        <v>40</v>
      </c>
      <c r="M36" s="85"/>
      <c r="N36" s="85"/>
      <c r="O36" s="85"/>
      <c r="P36" s="85"/>
      <c r="Q36" s="85"/>
      <c r="R36" s="85"/>
      <c r="S36" s="86">
        <v>10</v>
      </c>
      <c r="T36" s="70"/>
      <c r="U36" s="70"/>
    </row>
    <row r="37" spans="2:21">
      <c r="B37" s="64">
        <v>26</v>
      </c>
      <c r="C37" s="81" t="s">
        <v>180</v>
      </c>
      <c r="D37" s="72" t="s">
        <v>179</v>
      </c>
      <c r="E37" s="73">
        <v>23</v>
      </c>
      <c r="F37" s="73">
        <v>24</v>
      </c>
      <c r="G37" s="73"/>
      <c r="H37" s="73"/>
      <c r="I37" s="73"/>
      <c r="J37" s="74"/>
      <c r="K37" s="74"/>
      <c r="L37" s="74"/>
      <c r="M37" s="74"/>
      <c r="N37" s="74"/>
      <c r="O37" s="74"/>
      <c r="P37" s="74"/>
      <c r="Q37" s="74"/>
      <c r="R37" s="74"/>
      <c r="S37" s="76">
        <v>7</v>
      </c>
      <c r="T37" s="70"/>
      <c r="U37" s="70"/>
    </row>
    <row r="38" spans="2:21">
      <c r="B38" s="64">
        <v>27</v>
      </c>
      <c r="C38" s="81" t="s">
        <v>181</v>
      </c>
      <c r="D38" s="72" t="s">
        <v>182</v>
      </c>
      <c r="E38" s="73">
        <v>24</v>
      </c>
      <c r="F38" s="73"/>
      <c r="G38" s="73"/>
      <c r="H38" s="73"/>
      <c r="I38" s="73"/>
      <c r="J38" s="74">
        <v>28</v>
      </c>
      <c r="K38" s="74"/>
      <c r="L38" s="74"/>
      <c r="M38" s="74"/>
      <c r="N38" s="74"/>
      <c r="O38" s="74"/>
      <c r="P38" s="74"/>
      <c r="Q38" s="74"/>
      <c r="R38" s="74"/>
      <c r="S38" s="76">
        <v>10</v>
      </c>
      <c r="T38" s="70"/>
      <c r="U38" s="70"/>
    </row>
    <row r="39" spans="2:21" ht="24">
      <c r="B39" s="64">
        <v>28</v>
      </c>
      <c r="C39" s="81" t="s">
        <v>183</v>
      </c>
      <c r="D39" s="72" t="s">
        <v>184</v>
      </c>
      <c r="E39" s="73">
        <v>27</v>
      </c>
      <c r="F39" s="73"/>
      <c r="G39" s="73"/>
      <c r="H39" s="73"/>
      <c r="I39" s="73"/>
      <c r="J39" s="74">
        <v>29</v>
      </c>
      <c r="K39" s="74"/>
      <c r="L39" s="74"/>
      <c r="M39" s="74"/>
      <c r="N39" s="74"/>
      <c r="O39" s="74"/>
      <c r="P39" s="74"/>
      <c r="Q39" s="74"/>
      <c r="R39" s="74"/>
      <c r="S39" s="76">
        <v>0</v>
      </c>
      <c r="T39" s="70"/>
      <c r="U39" s="70"/>
    </row>
    <row r="40" spans="2:21">
      <c r="B40" s="64">
        <v>29</v>
      </c>
      <c r="C40" s="81" t="s">
        <v>185</v>
      </c>
      <c r="D40" s="72" t="s">
        <v>186</v>
      </c>
      <c r="E40" s="73">
        <v>28</v>
      </c>
      <c r="F40" s="73"/>
      <c r="G40" s="73"/>
      <c r="H40" s="73"/>
      <c r="I40" s="73"/>
      <c r="J40" s="74">
        <v>66</v>
      </c>
      <c r="K40" s="74"/>
      <c r="L40" s="74"/>
      <c r="M40" s="74"/>
      <c r="N40" s="74"/>
      <c r="O40" s="74"/>
      <c r="P40" s="74"/>
      <c r="Q40" s="74"/>
      <c r="R40" s="74"/>
      <c r="S40" s="76">
        <v>3</v>
      </c>
      <c r="T40" s="70"/>
      <c r="U40" s="70"/>
    </row>
    <row r="41" spans="2:21">
      <c r="B41" s="64"/>
      <c r="C41" s="87" t="s">
        <v>187</v>
      </c>
      <c r="D41" s="66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86"/>
      <c r="T41" s="70"/>
      <c r="U41" s="70"/>
    </row>
    <row r="42" spans="2:21">
      <c r="B42" s="64">
        <v>30</v>
      </c>
      <c r="C42" s="81" t="s">
        <v>188</v>
      </c>
      <c r="D42" s="72" t="s">
        <v>189</v>
      </c>
      <c r="E42" s="82">
        <v>22</v>
      </c>
      <c r="F42" s="67"/>
      <c r="G42" s="67"/>
      <c r="H42" s="67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86">
        <v>180</v>
      </c>
      <c r="T42" s="70"/>
      <c r="U42" s="70"/>
    </row>
    <row r="43" spans="2:21">
      <c r="B43" s="64"/>
      <c r="C43" s="65" t="s">
        <v>190</v>
      </c>
      <c r="D43" s="66"/>
      <c r="E43" s="67"/>
      <c r="F43" s="67"/>
      <c r="G43" s="67"/>
      <c r="H43" s="67"/>
      <c r="I43" s="67"/>
      <c r="J43" s="68"/>
      <c r="K43" s="68"/>
      <c r="L43" s="68"/>
      <c r="M43" s="68"/>
      <c r="N43" s="68"/>
      <c r="O43" s="68"/>
      <c r="P43" s="68"/>
      <c r="Q43" s="68"/>
      <c r="R43" s="68"/>
      <c r="S43" s="86"/>
      <c r="T43" s="70"/>
      <c r="U43" s="70"/>
    </row>
    <row r="44" spans="2:21">
      <c r="B44" s="64">
        <v>31</v>
      </c>
      <c r="C44" s="71" t="s">
        <v>191</v>
      </c>
      <c r="D44" s="72" t="s">
        <v>192</v>
      </c>
      <c r="E44" s="73">
        <v>25</v>
      </c>
      <c r="F44" s="73"/>
      <c r="G44" s="73"/>
      <c r="H44" s="73"/>
      <c r="I44" s="73"/>
      <c r="J44" s="74">
        <v>32</v>
      </c>
      <c r="K44" s="74"/>
      <c r="L44" s="74"/>
      <c r="M44" s="74"/>
      <c r="N44" s="74"/>
      <c r="O44" s="74"/>
      <c r="P44" s="74"/>
      <c r="Q44" s="74"/>
      <c r="R44" s="74"/>
      <c r="S44" s="76">
        <v>7</v>
      </c>
      <c r="T44" s="70"/>
      <c r="U44" s="70"/>
    </row>
    <row r="45" spans="2:21">
      <c r="B45" s="64">
        <v>32</v>
      </c>
      <c r="C45" s="71" t="s">
        <v>193</v>
      </c>
      <c r="D45" s="88" t="s">
        <v>176</v>
      </c>
      <c r="E45" s="82">
        <v>31</v>
      </c>
      <c r="F45" s="82"/>
      <c r="G45" s="82"/>
      <c r="H45" s="82"/>
      <c r="I45" s="82"/>
      <c r="J45" s="84">
        <v>36</v>
      </c>
      <c r="K45" s="84">
        <v>56</v>
      </c>
      <c r="L45" s="84"/>
      <c r="M45" s="84"/>
      <c r="N45" s="84"/>
      <c r="O45" s="84"/>
      <c r="P45" s="84"/>
      <c r="Q45" s="84"/>
      <c r="R45" s="84"/>
      <c r="S45" s="86">
        <v>7</v>
      </c>
      <c r="T45" s="70"/>
      <c r="U45" s="70"/>
    </row>
    <row r="46" spans="2:21">
      <c r="B46" s="64"/>
      <c r="C46" s="65" t="s">
        <v>194</v>
      </c>
      <c r="D46" s="66"/>
      <c r="E46" s="67"/>
      <c r="F46" s="67"/>
      <c r="G46" s="67"/>
      <c r="H46" s="67"/>
      <c r="I46" s="67"/>
      <c r="J46" s="68"/>
      <c r="K46" s="68"/>
      <c r="L46" s="68"/>
      <c r="M46" s="68"/>
      <c r="N46" s="68"/>
      <c r="O46" s="68"/>
      <c r="P46" s="68"/>
      <c r="Q46" s="68"/>
      <c r="R46" s="68"/>
      <c r="S46" s="86"/>
      <c r="T46" s="70"/>
      <c r="U46" s="70"/>
    </row>
    <row r="47" spans="2:21">
      <c r="B47" s="64">
        <v>33</v>
      </c>
      <c r="C47" s="71" t="s">
        <v>195</v>
      </c>
      <c r="D47" s="72" t="s">
        <v>176</v>
      </c>
      <c r="E47" s="73"/>
      <c r="F47" s="73"/>
      <c r="G47" s="73"/>
      <c r="H47" s="73"/>
      <c r="I47" s="73"/>
      <c r="J47" s="74">
        <v>34</v>
      </c>
      <c r="K47" s="74"/>
      <c r="L47" s="74"/>
      <c r="M47" s="74"/>
      <c r="N47" s="74"/>
      <c r="O47" s="74"/>
      <c r="P47" s="74"/>
      <c r="Q47" s="74"/>
      <c r="R47" s="74"/>
      <c r="S47" s="76">
        <v>3</v>
      </c>
      <c r="T47" s="70"/>
      <c r="U47" s="70"/>
    </row>
    <row r="48" spans="2:21">
      <c r="B48" s="64">
        <v>34</v>
      </c>
      <c r="C48" s="71" t="s">
        <v>196</v>
      </c>
      <c r="D48" s="72" t="s">
        <v>197</v>
      </c>
      <c r="E48" s="73">
        <v>33</v>
      </c>
      <c r="F48" s="73"/>
      <c r="G48" s="73"/>
      <c r="H48" s="73"/>
      <c r="I48" s="73"/>
      <c r="J48" s="74">
        <v>35</v>
      </c>
      <c r="K48" s="74"/>
      <c r="L48" s="74"/>
      <c r="M48" s="74"/>
      <c r="N48" s="74"/>
      <c r="O48" s="74"/>
      <c r="P48" s="74"/>
      <c r="Q48" s="74"/>
      <c r="R48" s="74"/>
      <c r="S48" s="76">
        <v>3</v>
      </c>
      <c r="T48" s="70"/>
      <c r="U48" s="70"/>
    </row>
    <row r="49" spans="2:21">
      <c r="B49" s="64">
        <v>35</v>
      </c>
      <c r="C49" s="71" t="s">
        <v>198</v>
      </c>
      <c r="D49" s="72" t="s">
        <v>197</v>
      </c>
      <c r="E49" s="73">
        <v>34</v>
      </c>
      <c r="F49" s="73"/>
      <c r="G49" s="73"/>
      <c r="H49" s="73"/>
      <c r="I49" s="73"/>
      <c r="J49" s="74">
        <v>36</v>
      </c>
      <c r="K49" s="74"/>
      <c r="L49" s="74"/>
      <c r="M49" s="74"/>
      <c r="N49" s="74"/>
      <c r="O49" s="74"/>
      <c r="P49" s="74"/>
      <c r="Q49" s="74"/>
      <c r="R49" s="74"/>
      <c r="S49" s="76">
        <v>22</v>
      </c>
      <c r="T49" s="70"/>
      <c r="U49" s="70"/>
    </row>
    <row r="50" spans="2:21">
      <c r="B50" s="64"/>
      <c r="C50" s="65" t="s">
        <v>199</v>
      </c>
      <c r="D50" s="66"/>
      <c r="E50" s="67"/>
      <c r="F50" s="67"/>
      <c r="G50" s="67"/>
      <c r="H50" s="67"/>
      <c r="I50" s="67"/>
      <c r="J50" s="68"/>
      <c r="K50" s="68"/>
      <c r="L50" s="68"/>
      <c r="M50" s="68"/>
      <c r="N50" s="68"/>
      <c r="O50" s="68"/>
      <c r="P50" s="68"/>
      <c r="Q50" s="68"/>
      <c r="R50" s="68"/>
      <c r="S50" s="86"/>
      <c r="T50" s="70"/>
      <c r="U50" s="70"/>
    </row>
    <row r="51" spans="2:21">
      <c r="B51" s="64">
        <v>36</v>
      </c>
      <c r="C51" s="71" t="s">
        <v>200</v>
      </c>
      <c r="D51" s="72" t="s">
        <v>201</v>
      </c>
      <c r="E51" s="73">
        <v>32</v>
      </c>
      <c r="F51" s="73">
        <v>35</v>
      </c>
      <c r="G51" s="73"/>
      <c r="H51" s="73"/>
      <c r="I51" s="73"/>
      <c r="J51" s="74"/>
      <c r="K51" s="74"/>
      <c r="L51" s="74"/>
      <c r="M51" s="74"/>
      <c r="N51" s="74"/>
      <c r="O51" s="74"/>
      <c r="P51" s="74"/>
      <c r="Q51" s="74"/>
      <c r="R51" s="74"/>
      <c r="S51" s="76">
        <v>1</v>
      </c>
      <c r="T51" s="70"/>
      <c r="U51" s="70"/>
    </row>
    <row r="52" spans="2:21">
      <c r="B52" s="64">
        <v>37</v>
      </c>
      <c r="C52" s="71" t="s">
        <v>202</v>
      </c>
      <c r="D52" s="72" t="s">
        <v>203</v>
      </c>
      <c r="E52" s="73">
        <v>24</v>
      </c>
      <c r="F52" s="73"/>
      <c r="G52" s="73"/>
      <c r="H52" s="73"/>
      <c r="I52" s="73"/>
      <c r="J52" s="74">
        <v>38</v>
      </c>
      <c r="K52" s="74"/>
      <c r="L52" s="74"/>
      <c r="M52" s="74"/>
      <c r="N52" s="74"/>
      <c r="O52" s="74"/>
      <c r="P52" s="74"/>
      <c r="Q52" s="74"/>
      <c r="R52" s="74"/>
      <c r="S52" s="76">
        <v>30</v>
      </c>
      <c r="T52" s="70"/>
      <c r="U52" s="70"/>
    </row>
    <row r="53" spans="2:21">
      <c r="B53" s="64">
        <v>38</v>
      </c>
      <c r="C53" s="71" t="s">
        <v>204</v>
      </c>
      <c r="D53" s="89" t="s">
        <v>205</v>
      </c>
      <c r="E53" s="82">
        <v>37</v>
      </c>
      <c r="F53" s="82"/>
      <c r="G53" s="82"/>
      <c r="H53" s="82"/>
      <c r="I53" s="82"/>
      <c r="J53" s="84"/>
      <c r="K53" s="84"/>
      <c r="L53" s="84"/>
      <c r="M53" s="84"/>
      <c r="N53" s="84"/>
      <c r="O53" s="84"/>
      <c r="P53" s="84"/>
      <c r="Q53" s="84"/>
      <c r="R53" s="84"/>
      <c r="S53" s="86">
        <v>3</v>
      </c>
      <c r="T53" s="70"/>
      <c r="U53" s="70"/>
    </row>
    <row r="54" spans="2:21">
      <c r="B54" s="64">
        <v>39</v>
      </c>
      <c r="C54" s="71" t="s">
        <v>206</v>
      </c>
      <c r="D54" s="72" t="s">
        <v>207</v>
      </c>
      <c r="E54" s="73">
        <v>25</v>
      </c>
      <c r="F54" s="73"/>
      <c r="G54" s="73"/>
      <c r="H54" s="73"/>
      <c r="I54" s="73"/>
      <c r="J54" s="74">
        <v>41</v>
      </c>
      <c r="K54" s="74"/>
      <c r="L54" s="74"/>
      <c r="M54" s="74"/>
      <c r="N54" s="74"/>
      <c r="O54" s="74"/>
      <c r="P54" s="74"/>
      <c r="Q54" s="74"/>
      <c r="R54" s="74"/>
      <c r="S54" s="76">
        <v>2</v>
      </c>
      <c r="T54" s="70"/>
      <c r="U54" s="70"/>
    </row>
    <row r="55" spans="2:21">
      <c r="B55" s="64">
        <v>40</v>
      </c>
      <c r="C55" s="71" t="s">
        <v>208</v>
      </c>
      <c r="D55" s="72" t="s">
        <v>197</v>
      </c>
      <c r="E55" s="73">
        <v>25</v>
      </c>
      <c r="F55" s="73"/>
      <c r="G55" s="73"/>
      <c r="H55" s="73"/>
      <c r="I55" s="73"/>
      <c r="J55" s="74">
        <v>41</v>
      </c>
      <c r="K55" s="74"/>
      <c r="L55" s="74"/>
      <c r="M55" s="74"/>
      <c r="N55" s="74"/>
      <c r="O55" s="74"/>
      <c r="P55" s="74"/>
      <c r="Q55" s="74"/>
      <c r="R55" s="74"/>
      <c r="S55" s="76">
        <v>2</v>
      </c>
      <c r="T55" s="70"/>
      <c r="U55" s="70"/>
    </row>
    <row r="56" spans="2:21" ht="15" customHeight="1">
      <c r="B56" s="64">
        <v>41</v>
      </c>
      <c r="C56" s="90" t="s">
        <v>209</v>
      </c>
      <c r="D56" s="72" t="s">
        <v>210</v>
      </c>
      <c r="E56" s="91">
        <v>39</v>
      </c>
      <c r="F56" s="91">
        <v>40</v>
      </c>
      <c r="G56" s="73"/>
      <c r="H56" s="73"/>
      <c r="I56" s="73"/>
      <c r="J56" s="92">
        <v>42</v>
      </c>
      <c r="K56" s="74"/>
      <c r="L56" s="74"/>
      <c r="M56" s="74"/>
      <c r="N56" s="74"/>
      <c r="O56" s="74"/>
      <c r="P56" s="74"/>
      <c r="Q56" s="74"/>
      <c r="R56" s="74"/>
      <c r="S56" s="93">
        <v>30</v>
      </c>
      <c r="T56" s="70"/>
      <c r="U56" s="70"/>
    </row>
    <row r="57" spans="2:21">
      <c r="B57" s="64">
        <v>42</v>
      </c>
      <c r="C57" s="71" t="s">
        <v>211</v>
      </c>
      <c r="D57" s="72" t="s">
        <v>207</v>
      </c>
      <c r="E57" s="94">
        <v>41</v>
      </c>
      <c r="F57" s="94"/>
      <c r="G57" s="94"/>
      <c r="H57" s="94"/>
      <c r="I57" s="94"/>
      <c r="J57" s="95">
        <v>42</v>
      </c>
      <c r="K57" s="95"/>
      <c r="L57" s="95"/>
      <c r="M57" s="95"/>
      <c r="N57" s="95"/>
      <c r="O57" s="95"/>
      <c r="P57" s="95"/>
      <c r="Q57" s="95"/>
      <c r="R57" s="95"/>
      <c r="S57" s="76">
        <v>7</v>
      </c>
      <c r="T57" s="70"/>
      <c r="U57" s="70"/>
    </row>
    <row r="58" spans="2:21">
      <c r="B58" s="64"/>
      <c r="C58" s="65" t="s">
        <v>212</v>
      </c>
      <c r="D58" s="66"/>
      <c r="E58" s="67"/>
      <c r="F58" s="67"/>
      <c r="G58" s="67"/>
      <c r="H58" s="67"/>
      <c r="I58" s="67"/>
      <c r="J58" s="68"/>
      <c r="K58" s="68"/>
      <c r="L58" s="68"/>
      <c r="M58" s="68"/>
      <c r="N58" s="68"/>
      <c r="O58" s="68"/>
      <c r="P58" s="68"/>
      <c r="Q58" s="68"/>
      <c r="R58" s="68"/>
      <c r="S58" s="86"/>
      <c r="T58" s="70"/>
      <c r="U58" s="70"/>
    </row>
    <row r="59" spans="2:21">
      <c r="B59" s="64">
        <v>43</v>
      </c>
      <c r="C59" s="71" t="s">
        <v>213</v>
      </c>
      <c r="D59" s="72" t="s">
        <v>174</v>
      </c>
      <c r="E59" s="73">
        <v>42</v>
      </c>
      <c r="F59" s="73"/>
      <c r="G59" s="73"/>
      <c r="H59" s="73"/>
      <c r="I59" s="73"/>
      <c r="J59" s="74">
        <v>44</v>
      </c>
      <c r="K59" s="74"/>
      <c r="L59" s="74"/>
      <c r="M59" s="74"/>
      <c r="N59" s="74"/>
      <c r="O59" s="74"/>
      <c r="P59" s="74"/>
      <c r="Q59" s="74"/>
      <c r="R59" s="74"/>
      <c r="S59" s="76">
        <v>10</v>
      </c>
      <c r="T59" s="70"/>
      <c r="U59" s="70"/>
    </row>
    <row r="60" spans="2:21">
      <c r="B60" s="64">
        <v>44</v>
      </c>
      <c r="C60" s="71" t="s">
        <v>214</v>
      </c>
      <c r="D60" s="72" t="s">
        <v>174</v>
      </c>
      <c r="E60" s="73">
        <v>43</v>
      </c>
      <c r="F60" s="73"/>
      <c r="G60" s="73"/>
      <c r="H60" s="73"/>
      <c r="I60" s="73"/>
      <c r="J60" s="74">
        <v>45</v>
      </c>
      <c r="K60" s="74"/>
      <c r="L60" s="74"/>
      <c r="M60" s="74"/>
      <c r="N60" s="74"/>
      <c r="O60" s="74"/>
      <c r="P60" s="74"/>
      <c r="Q60" s="74"/>
      <c r="R60" s="74"/>
      <c r="S60" s="76">
        <v>10</v>
      </c>
      <c r="T60" s="70"/>
      <c r="U60" s="70"/>
    </row>
    <row r="61" spans="2:21">
      <c r="B61" s="64">
        <v>45</v>
      </c>
      <c r="C61" s="71" t="s">
        <v>215</v>
      </c>
      <c r="D61" s="72" t="s">
        <v>179</v>
      </c>
      <c r="E61" s="73">
        <v>44</v>
      </c>
      <c r="F61" s="73"/>
      <c r="G61" s="73"/>
      <c r="H61" s="73"/>
      <c r="I61" s="73"/>
      <c r="J61" s="74">
        <v>46</v>
      </c>
      <c r="K61" s="74"/>
      <c r="L61" s="74"/>
      <c r="M61" s="74"/>
      <c r="N61" s="74"/>
      <c r="O61" s="74"/>
      <c r="P61" s="74"/>
      <c r="Q61" s="74"/>
      <c r="R61" s="74"/>
      <c r="S61" s="76">
        <v>10</v>
      </c>
      <c r="T61" s="70"/>
      <c r="U61" s="70"/>
    </row>
    <row r="62" spans="2:21">
      <c r="B62" s="64">
        <v>46</v>
      </c>
      <c r="C62" s="71" t="s">
        <v>216</v>
      </c>
      <c r="D62" s="72" t="s">
        <v>179</v>
      </c>
      <c r="E62" s="73">
        <v>45</v>
      </c>
      <c r="F62" s="73"/>
      <c r="G62" s="73"/>
      <c r="H62" s="73"/>
      <c r="I62" s="73"/>
      <c r="J62" s="74">
        <v>47</v>
      </c>
      <c r="K62" s="74">
        <v>60</v>
      </c>
      <c r="L62" s="74"/>
      <c r="M62" s="74"/>
      <c r="N62" s="74"/>
      <c r="O62" s="74"/>
      <c r="P62" s="74"/>
      <c r="Q62" s="74"/>
      <c r="R62" s="74"/>
      <c r="S62" s="76">
        <v>5</v>
      </c>
      <c r="T62" s="70"/>
      <c r="U62" s="70"/>
    </row>
    <row r="63" spans="2:21">
      <c r="B63" s="64">
        <v>47</v>
      </c>
      <c r="C63" s="71" t="s">
        <v>217</v>
      </c>
      <c r="D63" s="72" t="s">
        <v>201</v>
      </c>
      <c r="E63" s="73">
        <v>54</v>
      </c>
      <c r="F63" s="73"/>
      <c r="G63" s="73"/>
      <c r="H63" s="73"/>
      <c r="I63" s="73"/>
      <c r="J63" s="74"/>
      <c r="K63" s="74"/>
      <c r="L63" s="74"/>
      <c r="M63" s="74"/>
      <c r="N63" s="74"/>
      <c r="O63" s="74"/>
      <c r="P63" s="74"/>
      <c r="Q63" s="74"/>
      <c r="R63" s="74"/>
      <c r="S63" s="76">
        <v>2</v>
      </c>
      <c r="T63" s="70"/>
      <c r="U63" s="70"/>
    </row>
    <row r="64" spans="2:21">
      <c r="B64" s="64"/>
      <c r="C64" s="65" t="s">
        <v>218</v>
      </c>
      <c r="D64" s="66"/>
      <c r="E64" s="67"/>
      <c r="F64" s="67"/>
      <c r="G64" s="67"/>
      <c r="H64" s="67"/>
      <c r="I64" s="67"/>
      <c r="J64" s="68"/>
      <c r="K64" s="68"/>
      <c r="L64" s="68"/>
      <c r="M64" s="68"/>
      <c r="N64" s="68"/>
      <c r="O64" s="68"/>
      <c r="P64" s="68"/>
      <c r="Q64" s="68"/>
      <c r="R64" s="68"/>
      <c r="S64" s="86"/>
      <c r="T64" s="70"/>
      <c r="U64" s="70"/>
    </row>
    <row r="65" spans="2:21">
      <c r="B65" s="64">
        <v>48</v>
      </c>
      <c r="C65" s="71" t="s">
        <v>219</v>
      </c>
      <c r="D65" s="72" t="s">
        <v>1</v>
      </c>
      <c r="E65" s="82">
        <v>32</v>
      </c>
      <c r="F65" s="82"/>
      <c r="G65" s="82"/>
      <c r="H65" s="82"/>
      <c r="I65" s="82"/>
      <c r="J65" s="84">
        <v>49</v>
      </c>
      <c r="K65" s="84"/>
      <c r="L65" s="84"/>
      <c r="M65" s="84"/>
      <c r="N65" s="84"/>
      <c r="O65" s="84"/>
      <c r="P65" s="84"/>
      <c r="Q65" s="84"/>
      <c r="R65" s="84"/>
      <c r="S65" s="86">
        <v>10</v>
      </c>
      <c r="T65" s="70"/>
      <c r="U65" s="70"/>
    </row>
    <row r="66" spans="2:21">
      <c r="B66" s="64">
        <v>49</v>
      </c>
      <c r="C66" s="71" t="s">
        <v>220</v>
      </c>
      <c r="D66" s="72" t="s">
        <v>221</v>
      </c>
      <c r="E66" s="94">
        <v>48</v>
      </c>
      <c r="F66" s="94"/>
      <c r="G66" s="94"/>
      <c r="H66" s="94"/>
      <c r="I66" s="94"/>
      <c r="J66" s="95">
        <v>50</v>
      </c>
      <c r="K66" s="95"/>
      <c r="L66" s="95"/>
      <c r="M66" s="95"/>
      <c r="N66" s="95"/>
      <c r="O66" s="95"/>
      <c r="P66" s="95"/>
      <c r="Q66" s="95"/>
      <c r="R66" s="95"/>
      <c r="S66" s="76">
        <v>15</v>
      </c>
      <c r="T66" s="70"/>
      <c r="U66" s="70"/>
    </row>
    <row r="67" spans="2:21">
      <c r="B67" s="64">
        <v>50</v>
      </c>
      <c r="C67" s="71" t="s">
        <v>222</v>
      </c>
      <c r="D67" s="72" t="s">
        <v>1</v>
      </c>
      <c r="E67" s="94">
        <v>49</v>
      </c>
      <c r="F67" s="94"/>
      <c r="G67" s="94"/>
      <c r="H67" s="94"/>
      <c r="I67" s="94"/>
      <c r="J67" s="95">
        <v>51</v>
      </c>
      <c r="K67" s="95"/>
      <c r="L67" s="95"/>
      <c r="M67" s="95"/>
      <c r="N67" s="95"/>
      <c r="O67" s="95"/>
      <c r="P67" s="95"/>
      <c r="Q67" s="95"/>
      <c r="R67" s="95"/>
      <c r="S67" s="76">
        <v>45</v>
      </c>
      <c r="T67" s="70"/>
      <c r="U67" s="70"/>
    </row>
    <row r="68" spans="2:21">
      <c r="B68" s="64">
        <v>51</v>
      </c>
      <c r="C68" s="71" t="s">
        <v>223</v>
      </c>
      <c r="D68" s="72" t="s">
        <v>221</v>
      </c>
      <c r="E68" s="94">
        <v>50</v>
      </c>
      <c r="F68" s="94"/>
      <c r="G68" s="94"/>
      <c r="H68" s="94"/>
      <c r="I68" s="94"/>
      <c r="J68" s="95">
        <v>52</v>
      </c>
      <c r="K68" s="95"/>
      <c r="L68" s="95"/>
      <c r="M68" s="95"/>
      <c r="N68" s="95"/>
      <c r="O68" s="95"/>
      <c r="P68" s="95"/>
      <c r="Q68" s="95"/>
      <c r="R68" s="95"/>
      <c r="S68" s="76">
        <v>10</v>
      </c>
      <c r="T68" s="70"/>
      <c r="U68" s="70"/>
    </row>
    <row r="69" spans="2:21">
      <c r="B69" s="64">
        <v>52</v>
      </c>
      <c r="C69" s="71" t="s">
        <v>224</v>
      </c>
      <c r="D69" s="72" t="s">
        <v>179</v>
      </c>
      <c r="E69" s="94">
        <v>51</v>
      </c>
      <c r="F69" s="94"/>
      <c r="G69" s="94"/>
      <c r="H69" s="94"/>
      <c r="I69" s="94"/>
      <c r="J69" s="95">
        <v>53</v>
      </c>
      <c r="K69" s="95"/>
      <c r="L69" s="95"/>
      <c r="M69" s="95"/>
      <c r="N69" s="95"/>
      <c r="O69" s="95"/>
      <c r="P69" s="95"/>
      <c r="Q69" s="95"/>
      <c r="R69" s="95"/>
      <c r="S69" s="76">
        <v>10</v>
      </c>
      <c r="T69" s="70"/>
      <c r="U69" s="70"/>
    </row>
    <row r="70" spans="2:21">
      <c r="B70" s="64">
        <v>53</v>
      </c>
      <c r="C70" s="71" t="s">
        <v>225</v>
      </c>
      <c r="D70" s="72" t="s">
        <v>0</v>
      </c>
      <c r="E70" s="94">
        <v>52</v>
      </c>
      <c r="F70" s="94"/>
      <c r="G70" s="94"/>
      <c r="H70" s="94"/>
      <c r="I70" s="94"/>
      <c r="J70" s="95">
        <v>54</v>
      </c>
      <c r="K70" s="95"/>
      <c r="L70" s="95"/>
      <c r="M70" s="95"/>
      <c r="N70" s="95"/>
      <c r="O70" s="95"/>
      <c r="P70" s="95"/>
      <c r="Q70" s="95"/>
      <c r="R70" s="95"/>
      <c r="S70" s="76">
        <v>7</v>
      </c>
      <c r="T70" s="70"/>
      <c r="U70" s="70"/>
    </row>
    <row r="71" spans="2:21">
      <c r="B71" s="64">
        <v>54</v>
      </c>
      <c r="C71" s="71" t="s">
        <v>226</v>
      </c>
      <c r="D71" s="72" t="s">
        <v>227</v>
      </c>
      <c r="E71" s="94">
        <v>53</v>
      </c>
      <c r="F71" s="94"/>
      <c r="G71" s="94"/>
      <c r="H71" s="94"/>
      <c r="I71" s="94"/>
      <c r="J71" s="95">
        <v>55</v>
      </c>
      <c r="K71" s="95"/>
      <c r="L71" s="95"/>
      <c r="M71" s="95"/>
      <c r="N71" s="95"/>
      <c r="O71" s="95"/>
      <c r="P71" s="95"/>
      <c r="Q71" s="95"/>
      <c r="R71" s="95"/>
      <c r="S71" s="76">
        <v>4</v>
      </c>
      <c r="T71" s="70"/>
      <c r="U71" s="70"/>
    </row>
    <row r="72" spans="2:21">
      <c r="B72" s="64">
        <v>55</v>
      </c>
      <c r="C72" s="71" t="s">
        <v>228</v>
      </c>
      <c r="D72" s="72" t="s">
        <v>227</v>
      </c>
      <c r="E72" s="82">
        <v>54</v>
      </c>
      <c r="F72" s="82"/>
      <c r="G72" s="82"/>
      <c r="H72" s="82"/>
      <c r="I72" s="82"/>
      <c r="J72" s="84">
        <v>56</v>
      </c>
      <c r="K72" s="84"/>
      <c r="L72" s="84"/>
      <c r="M72" s="84"/>
      <c r="N72" s="84"/>
      <c r="O72" s="84"/>
      <c r="P72" s="84"/>
      <c r="Q72" s="84"/>
      <c r="R72" s="84"/>
      <c r="S72" s="86">
        <v>7</v>
      </c>
      <c r="T72" s="70"/>
      <c r="U72" s="70"/>
    </row>
    <row r="73" spans="2:21">
      <c r="B73" s="64">
        <v>56</v>
      </c>
      <c r="C73" s="71" t="s">
        <v>229</v>
      </c>
      <c r="D73" s="72" t="s">
        <v>227</v>
      </c>
      <c r="E73" s="94">
        <v>55</v>
      </c>
      <c r="F73" s="94"/>
      <c r="G73" s="94"/>
      <c r="H73" s="94"/>
      <c r="I73" s="94"/>
      <c r="J73" s="95">
        <v>57</v>
      </c>
      <c r="K73" s="95"/>
      <c r="L73" s="95"/>
      <c r="M73" s="95"/>
      <c r="N73" s="95"/>
      <c r="O73" s="95"/>
      <c r="P73" s="95"/>
      <c r="Q73" s="95"/>
      <c r="R73" s="95"/>
      <c r="S73" s="76">
        <v>3</v>
      </c>
      <c r="T73" s="70"/>
      <c r="U73" s="70"/>
    </row>
    <row r="74" spans="2:21">
      <c r="B74" s="64">
        <v>57</v>
      </c>
      <c r="C74" s="71" t="s">
        <v>230</v>
      </c>
      <c r="D74" s="72" t="s">
        <v>231</v>
      </c>
      <c r="E74" s="82">
        <v>56</v>
      </c>
      <c r="F74" s="82"/>
      <c r="G74" s="82"/>
      <c r="H74" s="82"/>
      <c r="I74" s="82"/>
      <c r="J74" s="84">
        <v>63</v>
      </c>
      <c r="K74" s="84"/>
      <c r="L74" s="84"/>
      <c r="M74" s="84"/>
      <c r="N74" s="84"/>
      <c r="O74" s="84"/>
      <c r="P74" s="84"/>
      <c r="Q74" s="84"/>
      <c r="R74" s="84"/>
      <c r="S74" s="86">
        <v>4</v>
      </c>
      <c r="T74" s="70"/>
      <c r="U74" s="70"/>
    </row>
    <row r="75" spans="2:21">
      <c r="B75" s="64"/>
      <c r="C75" s="65" t="s">
        <v>232</v>
      </c>
      <c r="D75" s="66"/>
      <c r="E75" s="82"/>
      <c r="F75" s="82"/>
      <c r="G75" s="82"/>
      <c r="H75" s="82"/>
      <c r="I75" s="82"/>
      <c r="J75" s="84"/>
      <c r="K75" s="84"/>
      <c r="L75" s="84"/>
      <c r="M75" s="84"/>
      <c r="N75" s="84"/>
      <c r="O75" s="84"/>
      <c r="P75" s="84"/>
      <c r="Q75" s="84"/>
      <c r="R75" s="84"/>
      <c r="S75" s="86"/>
      <c r="T75" s="70"/>
      <c r="U75" s="70"/>
    </row>
    <row r="76" spans="2:21">
      <c r="B76" s="64">
        <v>58</v>
      </c>
      <c r="C76" s="71" t="s">
        <v>233</v>
      </c>
      <c r="D76" s="96" t="s">
        <v>203</v>
      </c>
      <c r="E76" s="97">
        <v>29</v>
      </c>
      <c r="F76" s="97"/>
      <c r="G76" s="97"/>
      <c r="H76" s="97"/>
      <c r="I76" s="97"/>
      <c r="J76" s="98">
        <v>64</v>
      </c>
      <c r="K76" s="98"/>
      <c r="L76" s="98"/>
      <c r="M76" s="98"/>
      <c r="N76" s="98"/>
      <c r="O76" s="98"/>
      <c r="P76" s="98"/>
      <c r="Q76" s="98"/>
      <c r="R76" s="98"/>
      <c r="S76" s="99">
        <v>30</v>
      </c>
      <c r="T76" s="70"/>
      <c r="U76" s="70"/>
    </row>
    <row r="77" spans="2:21">
      <c r="B77" s="64">
        <v>59</v>
      </c>
      <c r="C77" s="71" t="s">
        <v>234</v>
      </c>
      <c r="D77" s="96" t="s">
        <v>197</v>
      </c>
      <c r="E77" s="97">
        <v>29</v>
      </c>
      <c r="F77" s="97"/>
      <c r="G77" s="97"/>
      <c r="H77" s="97"/>
      <c r="I77" s="97"/>
      <c r="J77" s="98"/>
      <c r="K77" s="98"/>
      <c r="L77" s="98"/>
      <c r="M77" s="98"/>
      <c r="N77" s="98"/>
      <c r="O77" s="98"/>
      <c r="P77" s="98"/>
      <c r="Q77" s="98"/>
      <c r="R77" s="98"/>
      <c r="S77" s="99">
        <v>3</v>
      </c>
      <c r="T77" s="70"/>
      <c r="U77" s="70"/>
    </row>
    <row r="78" spans="2:21">
      <c r="B78" s="64">
        <v>60</v>
      </c>
      <c r="C78" s="71" t="s">
        <v>235</v>
      </c>
      <c r="D78" s="96" t="s">
        <v>197</v>
      </c>
      <c r="E78" s="97">
        <v>46</v>
      </c>
      <c r="F78" s="97"/>
      <c r="G78" s="97"/>
      <c r="H78" s="97"/>
      <c r="I78" s="97"/>
      <c r="J78" s="98">
        <v>61</v>
      </c>
      <c r="K78" s="98">
        <v>65</v>
      </c>
      <c r="L78" s="98"/>
      <c r="M78" s="98"/>
      <c r="N78" s="98"/>
      <c r="O78" s="98"/>
      <c r="P78" s="98"/>
      <c r="Q78" s="98"/>
      <c r="R78" s="98"/>
      <c r="S78" s="99">
        <v>2</v>
      </c>
      <c r="T78" s="70"/>
      <c r="U78" s="70"/>
    </row>
    <row r="79" spans="2:21">
      <c r="B79" s="64">
        <v>61</v>
      </c>
      <c r="C79" s="71" t="s">
        <v>236</v>
      </c>
      <c r="D79" s="96" t="s">
        <v>197</v>
      </c>
      <c r="E79" s="97">
        <v>60</v>
      </c>
      <c r="F79" s="97"/>
      <c r="G79" s="97"/>
      <c r="H79" s="97"/>
      <c r="I79" s="97"/>
      <c r="J79" s="98">
        <v>62</v>
      </c>
      <c r="K79" s="98">
        <v>65</v>
      </c>
      <c r="L79" s="98"/>
      <c r="M79" s="98"/>
      <c r="N79" s="98"/>
      <c r="O79" s="98"/>
      <c r="P79" s="98"/>
      <c r="Q79" s="98"/>
      <c r="R79" s="98"/>
      <c r="S79" s="99">
        <v>1</v>
      </c>
      <c r="T79" s="70"/>
      <c r="U79" s="70"/>
    </row>
    <row r="80" spans="2:21">
      <c r="B80" s="64">
        <v>62</v>
      </c>
      <c r="C80" s="71" t="s">
        <v>237</v>
      </c>
      <c r="D80" s="96" t="s">
        <v>238</v>
      </c>
      <c r="E80" s="97">
        <v>61</v>
      </c>
      <c r="F80" s="97"/>
      <c r="G80" s="97"/>
      <c r="H80" s="97"/>
      <c r="I80" s="97"/>
      <c r="J80" s="98">
        <v>65</v>
      </c>
      <c r="K80" s="98"/>
      <c r="L80" s="98"/>
      <c r="M80" s="98"/>
      <c r="N80" s="98"/>
      <c r="O80" s="98"/>
      <c r="P80" s="98"/>
      <c r="Q80" s="98"/>
      <c r="R80" s="98"/>
      <c r="S80" s="99">
        <v>1</v>
      </c>
      <c r="T80" s="70"/>
      <c r="U80" s="70"/>
    </row>
    <row r="81" spans="2:21">
      <c r="B81" s="64">
        <v>63</v>
      </c>
      <c r="C81" s="71" t="s">
        <v>239</v>
      </c>
      <c r="D81" s="96" t="s">
        <v>240</v>
      </c>
      <c r="E81" s="97">
        <v>57</v>
      </c>
      <c r="F81" s="97"/>
      <c r="G81" s="97"/>
      <c r="H81" s="97"/>
      <c r="I81" s="97"/>
      <c r="J81" s="98">
        <v>65</v>
      </c>
      <c r="K81" s="98"/>
      <c r="L81" s="98"/>
      <c r="M81" s="98"/>
      <c r="N81" s="98"/>
      <c r="O81" s="98"/>
      <c r="P81" s="98"/>
      <c r="Q81" s="98"/>
      <c r="R81" s="98"/>
      <c r="S81" s="99">
        <v>2</v>
      </c>
      <c r="T81" s="70"/>
      <c r="U81" s="70"/>
    </row>
    <row r="82" spans="2:21">
      <c r="B82" s="64">
        <v>64</v>
      </c>
      <c r="C82" s="71" t="s">
        <v>241</v>
      </c>
      <c r="D82" s="96" t="s">
        <v>242</v>
      </c>
      <c r="E82" s="97">
        <v>58</v>
      </c>
      <c r="F82" s="97"/>
      <c r="G82" s="97"/>
      <c r="H82" s="97"/>
      <c r="I82" s="97"/>
      <c r="J82" s="98">
        <v>65</v>
      </c>
      <c r="K82" s="98"/>
      <c r="L82" s="98"/>
      <c r="M82" s="98"/>
      <c r="N82" s="98"/>
      <c r="O82" s="98"/>
      <c r="P82" s="98"/>
      <c r="Q82" s="98"/>
      <c r="R82" s="98"/>
      <c r="S82" s="99">
        <v>3</v>
      </c>
      <c r="T82" s="70"/>
      <c r="U82" s="70"/>
    </row>
    <row r="83" spans="2:21">
      <c r="B83" s="64">
        <v>65</v>
      </c>
      <c r="C83" s="71" t="s">
        <v>243</v>
      </c>
      <c r="D83" s="96" t="s">
        <v>244</v>
      </c>
      <c r="E83" s="97">
        <v>60</v>
      </c>
      <c r="F83" s="97">
        <v>61</v>
      </c>
      <c r="G83" s="97">
        <v>62</v>
      </c>
      <c r="H83" s="97">
        <v>63</v>
      </c>
      <c r="I83" s="97">
        <v>64</v>
      </c>
      <c r="J83" s="98">
        <v>66</v>
      </c>
      <c r="K83" s="98"/>
      <c r="L83" s="98"/>
      <c r="M83" s="98"/>
      <c r="N83" s="98"/>
      <c r="O83" s="98"/>
      <c r="P83" s="98"/>
      <c r="Q83" s="98"/>
      <c r="R83" s="98"/>
      <c r="S83" s="99">
        <v>60</v>
      </c>
      <c r="T83" s="70"/>
      <c r="U83" s="70"/>
    </row>
    <row r="84" spans="2:21">
      <c r="B84" s="64">
        <v>66</v>
      </c>
      <c r="C84" s="71" t="s">
        <v>245</v>
      </c>
      <c r="D84" s="96" t="s">
        <v>246</v>
      </c>
      <c r="E84" s="97">
        <v>65</v>
      </c>
      <c r="F84" s="97"/>
      <c r="G84" s="97"/>
      <c r="H84" s="97"/>
      <c r="I84" s="97"/>
      <c r="J84" s="98">
        <v>67</v>
      </c>
      <c r="K84" s="98"/>
      <c r="L84" s="98"/>
      <c r="M84" s="98"/>
      <c r="N84" s="98"/>
      <c r="O84" s="98"/>
      <c r="P84" s="98"/>
      <c r="Q84" s="98"/>
      <c r="R84" s="98"/>
      <c r="S84" s="99">
        <v>8</v>
      </c>
      <c r="T84" s="70"/>
      <c r="U84" s="70"/>
    </row>
    <row r="85" spans="2:21">
      <c r="B85" s="64">
        <v>67</v>
      </c>
      <c r="C85" s="71" t="s">
        <v>247</v>
      </c>
      <c r="D85" s="96" t="s">
        <v>248</v>
      </c>
      <c r="E85" s="97">
        <v>66</v>
      </c>
      <c r="F85" s="97"/>
      <c r="G85" s="97"/>
      <c r="H85" s="97"/>
      <c r="I85" s="97"/>
      <c r="J85" s="98">
        <v>68</v>
      </c>
      <c r="K85" s="98"/>
      <c r="L85" s="98"/>
      <c r="M85" s="98"/>
      <c r="N85" s="98"/>
      <c r="O85" s="98"/>
      <c r="P85" s="98"/>
      <c r="Q85" s="98"/>
      <c r="R85" s="98"/>
      <c r="S85" s="99">
        <v>0</v>
      </c>
      <c r="T85" s="70"/>
      <c r="U85" s="70"/>
    </row>
    <row r="86" spans="2:21">
      <c r="B86" s="64">
        <v>68</v>
      </c>
      <c r="C86" s="71" t="s">
        <v>249</v>
      </c>
      <c r="D86" s="96" t="s">
        <v>197</v>
      </c>
      <c r="E86" s="97">
        <v>67</v>
      </c>
      <c r="F86" s="97"/>
      <c r="G86" s="97"/>
      <c r="H86" s="97"/>
      <c r="I86" s="97"/>
      <c r="J86" s="98">
        <v>69</v>
      </c>
      <c r="K86" s="98">
        <v>70</v>
      </c>
      <c r="L86" s="98"/>
      <c r="M86" s="98"/>
      <c r="N86" s="98"/>
      <c r="O86" s="98"/>
      <c r="P86" s="98"/>
      <c r="Q86" s="98"/>
      <c r="R86" s="98"/>
      <c r="S86" s="99">
        <v>3</v>
      </c>
      <c r="T86" s="70"/>
      <c r="U86" s="70"/>
    </row>
    <row r="87" spans="2:21">
      <c r="B87" s="64">
        <v>69</v>
      </c>
      <c r="C87" s="71" t="s">
        <v>250</v>
      </c>
      <c r="D87" s="96" t="s">
        <v>251</v>
      </c>
      <c r="E87" s="97">
        <v>68</v>
      </c>
      <c r="F87" s="97"/>
      <c r="G87" s="97"/>
      <c r="H87" s="97"/>
      <c r="I87" s="97"/>
      <c r="J87" s="98"/>
      <c r="K87" s="98"/>
      <c r="L87" s="98"/>
      <c r="M87" s="98"/>
      <c r="N87" s="98"/>
      <c r="O87" s="98"/>
      <c r="P87" s="98"/>
      <c r="Q87" s="98"/>
      <c r="R87" s="98"/>
      <c r="S87" s="99">
        <v>5</v>
      </c>
      <c r="T87" s="70"/>
      <c r="U87" s="70"/>
    </row>
    <row r="88" spans="2:21">
      <c r="B88" s="64"/>
      <c r="C88" s="65" t="s">
        <v>252</v>
      </c>
      <c r="D88" s="66"/>
      <c r="E88" s="82"/>
      <c r="F88" s="82"/>
      <c r="G88" s="82"/>
      <c r="H88" s="82"/>
      <c r="I88" s="82"/>
      <c r="J88" s="84"/>
      <c r="K88" s="84"/>
      <c r="L88" s="84"/>
      <c r="M88" s="84"/>
      <c r="N88" s="84"/>
      <c r="O88" s="84"/>
      <c r="P88" s="84"/>
      <c r="Q88" s="84"/>
      <c r="R88" s="84"/>
      <c r="S88" s="86"/>
      <c r="T88" s="70"/>
      <c r="U88" s="70"/>
    </row>
    <row r="89" spans="2:21">
      <c r="B89" s="64">
        <v>70</v>
      </c>
      <c r="C89" s="71" t="s">
        <v>253</v>
      </c>
      <c r="D89" s="96" t="s">
        <v>246</v>
      </c>
      <c r="E89" s="97">
        <v>68</v>
      </c>
      <c r="F89" s="97"/>
      <c r="G89" s="97"/>
      <c r="H89" s="97"/>
      <c r="I89" s="97"/>
      <c r="J89" s="98">
        <v>71</v>
      </c>
      <c r="K89" s="98"/>
      <c r="L89" s="98"/>
      <c r="M89" s="98"/>
      <c r="N89" s="98"/>
      <c r="O89" s="98"/>
      <c r="P89" s="98"/>
      <c r="Q89" s="98"/>
      <c r="R89" s="98"/>
      <c r="S89" s="99">
        <v>5</v>
      </c>
      <c r="T89" s="70"/>
      <c r="U89" s="70"/>
    </row>
    <row r="90" spans="2:21">
      <c r="B90" s="64">
        <v>71</v>
      </c>
      <c r="C90" s="71" t="s">
        <v>254</v>
      </c>
      <c r="D90" s="96" t="s">
        <v>179</v>
      </c>
      <c r="E90" s="97">
        <v>70</v>
      </c>
      <c r="F90" s="97"/>
      <c r="G90" s="97"/>
      <c r="H90" s="97"/>
      <c r="I90" s="97"/>
      <c r="J90" s="98">
        <v>72</v>
      </c>
      <c r="K90" s="98"/>
      <c r="L90" s="98"/>
      <c r="M90" s="98"/>
      <c r="N90" s="98"/>
      <c r="O90" s="98"/>
      <c r="P90" s="98"/>
      <c r="Q90" s="98"/>
      <c r="R90" s="98"/>
      <c r="S90" s="99">
        <v>5</v>
      </c>
      <c r="T90" s="70"/>
      <c r="U90" s="70"/>
    </row>
    <row r="91" spans="2:21">
      <c r="B91" s="64">
        <v>72</v>
      </c>
      <c r="C91" s="71" t="s">
        <v>255</v>
      </c>
      <c r="D91" s="96" t="s">
        <v>246</v>
      </c>
      <c r="E91" s="97">
        <v>71</v>
      </c>
      <c r="F91" s="97"/>
      <c r="G91" s="97"/>
      <c r="H91" s="97"/>
      <c r="I91" s="97"/>
      <c r="J91" s="98">
        <v>73</v>
      </c>
      <c r="K91" s="98"/>
      <c r="L91" s="98"/>
      <c r="M91" s="98"/>
      <c r="N91" s="98"/>
      <c r="O91" s="98"/>
      <c r="P91" s="98"/>
      <c r="Q91" s="98"/>
      <c r="R91" s="98"/>
      <c r="S91" s="99">
        <v>2</v>
      </c>
      <c r="T91" s="70"/>
      <c r="U91" s="70"/>
    </row>
    <row r="92" spans="2:21">
      <c r="B92" s="64">
        <v>73</v>
      </c>
      <c r="C92" s="71" t="s">
        <v>256</v>
      </c>
      <c r="D92" s="96" t="s">
        <v>246</v>
      </c>
      <c r="E92" s="97">
        <v>72</v>
      </c>
      <c r="F92" s="97"/>
      <c r="G92" s="97"/>
      <c r="H92" s="97"/>
      <c r="I92" s="97"/>
      <c r="J92" s="98">
        <v>74</v>
      </c>
      <c r="K92" s="98"/>
      <c r="L92" s="98"/>
      <c r="M92" s="98"/>
      <c r="N92" s="98"/>
      <c r="O92" s="98"/>
      <c r="P92" s="98"/>
      <c r="Q92" s="98"/>
      <c r="R92" s="98"/>
      <c r="S92" s="99">
        <v>2</v>
      </c>
      <c r="T92" s="70"/>
      <c r="U92" s="70"/>
    </row>
    <row r="93" spans="2:21">
      <c r="B93" s="64">
        <v>74</v>
      </c>
      <c r="C93" s="71" t="s">
        <v>257</v>
      </c>
      <c r="D93" s="96" t="s">
        <v>246</v>
      </c>
      <c r="E93" s="97">
        <v>73</v>
      </c>
      <c r="F93" s="97"/>
      <c r="G93" s="97"/>
      <c r="H93" s="97"/>
      <c r="I93" s="97"/>
      <c r="J93" s="98">
        <v>75</v>
      </c>
      <c r="K93" s="98"/>
      <c r="L93" s="98"/>
      <c r="M93" s="98"/>
      <c r="N93" s="98"/>
      <c r="O93" s="98"/>
      <c r="P93" s="98"/>
      <c r="Q93" s="98"/>
      <c r="R93" s="98"/>
      <c r="S93" s="99">
        <v>100</v>
      </c>
      <c r="T93" s="70"/>
      <c r="U93" s="70"/>
    </row>
    <row r="94" spans="2:21">
      <c r="B94" s="64"/>
      <c r="C94" s="65" t="s">
        <v>258</v>
      </c>
      <c r="D94" s="66"/>
      <c r="E94" s="82"/>
      <c r="F94" s="82"/>
      <c r="G94" s="82"/>
      <c r="H94" s="82"/>
      <c r="I94" s="82"/>
      <c r="J94" s="84"/>
      <c r="K94" s="84"/>
      <c r="L94" s="84"/>
      <c r="M94" s="84"/>
      <c r="N94" s="84"/>
      <c r="O94" s="84"/>
      <c r="P94" s="84"/>
      <c r="Q94" s="84"/>
      <c r="R94" s="84"/>
      <c r="S94" s="86"/>
      <c r="T94" s="70"/>
      <c r="U94" s="70"/>
    </row>
    <row r="95" spans="2:21">
      <c r="B95" s="64">
        <v>75</v>
      </c>
      <c r="C95" s="71" t="s">
        <v>259</v>
      </c>
      <c r="D95" s="96" t="s">
        <v>260</v>
      </c>
      <c r="E95" s="97">
        <v>74</v>
      </c>
      <c r="F95" s="97"/>
      <c r="G95" s="97"/>
      <c r="H95" s="97"/>
      <c r="I95" s="97"/>
      <c r="J95" s="98">
        <v>76</v>
      </c>
      <c r="K95" s="98"/>
      <c r="L95" s="98"/>
      <c r="M95" s="98"/>
      <c r="N95" s="98"/>
      <c r="O95" s="98"/>
      <c r="P95" s="98"/>
      <c r="Q95" s="98"/>
      <c r="R95" s="98"/>
      <c r="S95" s="99">
        <v>7</v>
      </c>
      <c r="T95" s="70"/>
      <c r="U95" s="70"/>
    </row>
    <row r="96" spans="2:21">
      <c r="B96" s="64">
        <v>76</v>
      </c>
      <c r="C96" s="71" t="s">
        <v>261</v>
      </c>
      <c r="D96" s="96" t="s">
        <v>262</v>
      </c>
      <c r="E96" s="97">
        <v>75</v>
      </c>
      <c r="F96" s="97"/>
      <c r="G96" s="97"/>
      <c r="H96" s="97"/>
      <c r="I96" s="97"/>
      <c r="J96" s="98">
        <v>77</v>
      </c>
      <c r="K96" s="98"/>
      <c r="L96" s="98"/>
      <c r="M96" s="98"/>
      <c r="N96" s="98"/>
      <c r="O96" s="98"/>
      <c r="P96" s="98"/>
      <c r="Q96" s="98"/>
      <c r="R96" s="98"/>
      <c r="S96" s="99">
        <v>7</v>
      </c>
      <c r="T96" s="70"/>
      <c r="U96" s="70"/>
    </row>
    <row r="97" spans="2:21">
      <c r="B97" s="64">
        <v>77</v>
      </c>
      <c r="C97" s="71" t="s">
        <v>263</v>
      </c>
      <c r="D97" s="96" t="s">
        <v>262</v>
      </c>
      <c r="E97" s="97">
        <v>76</v>
      </c>
      <c r="F97" s="97"/>
      <c r="G97" s="97"/>
      <c r="H97" s="97"/>
      <c r="I97" s="97"/>
      <c r="J97" s="98">
        <v>78</v>
      </c>
      <c r="K97" s="98"/>
      <c r="L97" s="98"/>
      <c r="M97" s="98"/>
      <c r="N97" s="98"/>
      <c r="O97" s="98"/>
      <c r="P97" s="98"/>
      <c r="Q97" s="98"/>
      <c r="R97" s="98"/>
      <c r="S97" s="99">
        <v>7</v>
      </c>
      <c r="T97" s="70"/>
      <c r="U97" s="70"/>
    </row>
    <row r="98" spans="2:21">
      <c r="B98" s="64">
        <v>78</v>
      </c>
      <c r="C98" s="71" t="s">
        <v>264</v>
      </c>
      <c r="D98" s="96" t="s">
        <v>262</v>
      </c>
      <c r="E98" s="97">
        <v>77</v>
      </c>
      <c r="F98" s="97"/>
      <c r="G98" s="97"/>
      <c r="H98" s="97"/>
      <c r="I98" s="97"/>
      <c r="J98" s="98"/>
      <c r="K98" s="98"/>
      <c r="L98" s="98"/>
      <c r="M98" s="98"/>
      <c r="N98" s="98"/>
      <c r="O98" s="98"/>
      <c r="P98" s="98"/>
      <c r="Q98" s="98"/>
      <c r="R98" s="98"/>
      <c r="S98" s="99">
        <v>1</v>
      </c>
      <c r="T98" s="70"/>
      <c r="U98" s="101"/>
    </row>
    <row r="99" spans="2:21"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3"/>
    </row>
    <row r="100" spans="2:21"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</row>
    <row r="101" spans="2:21"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</row>
    <row r="102" spans="2:21"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</row>
  </sheetData>
  <mergeCells count="2">
    <mergeCell ref="E2:I2"/>
    <mergeCell ref="J2:R2"/>
  </mergeCells>
  <conditionalFormatting sqref="D37:R40">
    <cfRule type="expression" dxfId="11" priority="5">
      <formula>IF($Y$6="NA","true","false")</formula>
    </cfRule>
  </conditionalFormatting>
  <conditionalFormatting sqref="D66:R71">
    <cfRule type="expression" dxfId="10" priority="6">
      <formula>IF($Y$7="NA","true","false")</formula>
    </cfRule>
  </conditionalFormatting>
  <conditionalFormatting sqref="E17:I18 E26:I29 E44:I44 E73:I73 E47:I49 E32:I35 E20:I24 E51:I52 E59:I63 E4:I9 E11:I14 E54:I57">
    <cfRule type="expression" dxfId="9" priority="7">
      <formula>AND(VLOOKUP(E4,$C$3:$U$75,24,FALSE)="a",NOT(VLOOKUP($C4,$C$3:$U$75,24,FALSE)="a"))</formula>
    </cfRule>
    <cfRule type="expression" dxfId="8" priority="8">
      <formula>AND(VLOOKUP(E4,$C$3:$U$75,24,FALSE)="a",VLOOKUP($C4,$C$3:$U$75,24,FALSE)="a")</formula>
    </cfRule>
  </conditionalFormatting>
  <conditionalFormatting sqref="E37:I40">
    <cfRule type="expression" dxfId="7" priority="9">
      <formula>IF($Y$6="a",AND(VLOOKUP(E37,$C$3:$U$75,24,FALSE)="a",NOT(VLOOKUP($C37,$C$3:$U$75,24,FALSE)="a")),"False")</formula>
    </cfRule>
    <cfRule type="expression" dxfId="6" priority="10">
      <formula>AND(VLOOKUP(E37,$C$3:$U$75,24,FALSE)="a",VLOOKUP($C37,$C$3:$U$75,24,FALSE)="a")</formula>
    </cfRule>
  </conditionalFormatting>
  <conditionalFormatting sqref="E66:I71">
    <cfRule type="expression" dxfId="5" priority="11">
      <formula>IF($Y$7="a",AND(VLOOKUP(E66,$C$3:$U$75,24,FALSE)="a",NOT(VLOOKUP($C66,$C$3:$U$75,24,FALSE)="a")),"False")</formula>
    </cfRule>
    <cfRule type="expression" dxfId="4" priority="12">
      <formula>IF($Y$7="a",AND(VLOOKUP(E66,$C$3:$U$75,24,FALSE)="a",VLOOKUP($C66,$C$3:$U$75,24,FALSE)="a"),"False")</formula>
    </cfRule>
  </conditionalFormatting>
  <conditionalFormatting sqref="D42">
    <cfRule type="expression" dxfId="3" priority="4">
      <formula>IF($Y$6="NA","true","false")</formula>
    </cfRule>
  </conditionalFormatting>
  <conditionalFormatting sqref="D72">
    <cfRule type="expression" dxfId="2" priority="3">
      <formula>IF($Y$7="NA","true","false")</formula>
    </cfRule>
  </conditionalFormatting>
  <conditionalFormatting sqref="D73">
    <cfRule type="expression" dxfId="1" priority="2">
      <formula>IF($Y$7="NA","true","false")</formula>
    </cfRule>
  </conditionalFormatting>
  <conditionalFormatting sqref="D74">
    <cfRule type="expression" dxfId="0" priority="1">
      <formula>IF($Y$7="NA","true","false")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showGridLines="0" workbookViewId="0">
      <selection activeCell="I12" sqref="I12"/>
    </sheetView>
  </sheetViews>
  <sheetFormatPr defaultRowHeight="12.75"/>
  <cols>
    <col min="1" max="1" width="39.42578125" bestFit="1" customWidth="1"/>
    <col min="2" max="2" width="13.7109375" customWidth="1"/>
    <col min="3" max="3" width="16.28515625" customWidth="1"/>
    <col min="4" max="4" width="16.85546875" customWidth="1"/>
    <col min="5" max="5" width="15" customWidth="1"/>
    <col min="6" max="6" width="19.42578125" customWidth="1"/>
    <col min="7" max="7" width="31.7109375" customWidth="1"/>
  </cols>
  <sheetData>
    <row r="1" spans="1:17">
      <c r="A1" s="13" t="s">
        <v>6</v>
      </c>
      <c r="B1" s="341">
        <f>'1.PMO_BD'!B3</f>
        <v>0</v>
      </c>
      <c r="C1" s="34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13" t="s">
        <v>51</v>
      </c>
      <c r="B2" s="341">
        <f>'1.PMO_BD'!B4</f>
        <v>0</v>
      </c>
      <c r="C2" s="34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13" t="s">
        <v>52</v>
      </c>
      <c r="B3" s="339"/>
      <c r="C3" s="340"/>
      <c r="D3" s="16" t="s">
        <v>53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13" t="s">
        <v>54</v>
      </c>
      <c r="B4" s="343"/>
      <c r="C4" s="344"/>
      <c r="D4" s="17" t="s">
        <v>55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13" t="s">
        <v>56</v>
      </c>
      <c r="B5" s="345"/>
      <c r="C5" s="34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13" t="s">
        <v>112</v>
      </c>
      <c r="B6" s="343"/>
      <c r="C6" s="34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13" t="s">
        <v>113</v>
      </c>
      <c r="B7" s="343"/>
      <c r="C7" s="34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13" t="s">
        <v>57</v>
      </c>
      <c r="B8" s="339"/>
      <c r="C8" s="340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13" t="s">
        <v>58</v>
      </c>
      <c r="B9" s="339"/>
      <c r="C9" s="34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13" t="s">
        <v>59</v>
      </c>
      <c r="B10" s="339"/>
      <c r="C10" s="34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ht="36">
      <c r="A12" s="13" t="s">
        <v>60</v>
      </c>
      <c r="B12" s="13" t="s">
        <v>61</v>
      </c>
      <c r="C12" s="13" t="s">
        <v>62</v>
      </c>
      <c r="D12" s="13" t="s">
        <v>63</v>
      </c>
      <c r="E12" s="13" t="s">
        <v>64</v>
      </c>
      <c r="F12" s="13" t="s">
        <v>65</v>
      </c>
      <c r="G12" s="13" t="s">
        <v>66</v>
      </c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14"/>
      <c r="B13" s="15"/>
      <c r="C13" s="14"/>
      <c r="D13" s="15"/>
      <c r="E13" s="14"/>
      <c r="F13" s="15"/>
      <c r="G13" s="14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14"/>
      <c r="B14" s="15"/>
      <c r="C14" s="14"/>
      <c r="D14" s="15"/>
      <c r="E14" s="14"/>
      <c r="F14" s="15"/>
      <c r="G14" s="14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14"/>
      <c r="B15" s="15"/>
      <c r="C15" s="14"/>
      <c r="D15" s="15"/>
      <c r="E15" s="14"/>
      <c r="F15" s="15"/>
      <c r="G15" s="14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14"/>
      <c r="B16" s="15"/>
      <c r="C16" s="14"/>
      <c r="D16" s="15"/>
      <c r="E16" s="14"/>
      <c r="F16" s="15"/>
      <c r="G16" s="14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14"/>
      <c r="B17" s="15"/>
      <c r="C17" s="14"/>
      <c r="D17" s="15"/>
      <c r="E17" s="14"/>
      <c r="F17" s="15"/>
      <c r="G17" s="14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14"/>
      <c r="B18" s="15"/>
      <c r="C18" s="14"/>
      <c r="D18" s="15"/>
      <c r="E18" s="14"/>
      <c r="F18" s="15"/>
      <c r="G18" s="14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14"/>
      <c r="B19" s="15"/>
      <c r="C19" s="14"/>
      <c r="D19" s="15"/>
      <c r="E19" s="14"/>
      <c r="F19" s="15"/>
      <c r="G19" s="14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14"/>
      <c r="B20" s="15"/>
      <c r="C20" s="14"/>
      <c r="D20" s="15"/>
      <c r="E20" s="14"/>
      <c r="F20" s="15"/>
      <c r="G20" s="14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14"/>
      <c r="B21" s="15"/>
      <c r="C21" s="14"/>
      <c r="D21" s="15"/>
      <c r="E21" s="14"/>
      <c r="F21" s="15"/>
      <c r="G21" s="14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17" t="s">
        <v>67</v>
      </c>
      <c r="B22" s="18"/>
      <c r="C22" s="18"/>
      <c r="D22" s="18"/>
      <c r="E22" s="18"/>
      <c r="F22" s="18"/>
      <c r="G22" s="18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17" t="s">
        <v>68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13" t="s">
        <v>69</v>
      </c>
      <c r="B24" s="13" t="s">
        <v>70</v>
      </c>
      <c r="C24" s="13" t="s">
        <v>66</v>
      </c>
      <c r="D24" s="19"/>
      <c r="E24" s="19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14"/>
      <c r="B25" s="15"/>
      <c r="C25" s="1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14"/>
      <c r="B26" s="15"/>
      <c r="C26" s="1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14"/>
      <c r="B27" s="15"/>
      <c r="C27" s="1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14"/>
      <c r="B28" s="15"/>
      <c r="C28" s="1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14"/>
      <c r="B29" s="15"/>
      <c r="C29" s="1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14"/>
      <c r="B30" s="15"/>
      <c r="C30" s="1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14"/>
      <c r="B31" s="15"/>
      <c r="C31" s="1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14"/>
      <c r="B32" s="15"/>
      <c r="C32" s="1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14"/>
      <c r="B33" s="15"/>
      <c r="C33" s="1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</sheetData>
  <mergeCells count="10">
    <mergeCell ref="B10:C10"/>
    <mergeCell ref="B2:C2"/>
    <mergeCell ref="B1:C1"/>
    <mergeCell ref="B4:C4"/>
    <mergeCell ref="B5:C5"/>
    <mergeCell ref="B6:C6"/>
    <mergeCell ref="B7:C7"/>
    <mergeCell ref="B8:C8"/>
    <mergeCell ref="B3:C3"/>
    <mergeCell ref="B9:C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view="pageLayout" workbookViewId="0">
      <selection activeCell="E4" sqref="E4:H4"/>
    </sheetView>
  </sheetViews>
  <sheetFormatPr defaultRowHeight="12.75"/>
  <cols>
    <col min="1" max="1" width="7.7109375" customWidth="1"/>
    <col min="2" max="2" width="7.28515625" customWidth="1"/>
    <col min="14" max="14" width="7.5703125" customWidth="1"/>
  </cols>
  <sheetData>
    <row r="1" spans="2:14" ht="13.5" thickBot="1"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2"/>
    </row>
    <row r="2" spans="2:14" ht="16.5" thickBot="1">
      <c r="B2" s="33"/>
      <c r="C2" s="359" t="s">
        <v>84</v>
      </c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4"/>
    </row>
    <row r="3" spans="2:14" ht="13.5" thickBot="1">
      <c r="B3" s="33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4"/>
    </row>
    <row r="4" spans="2:14">
      <c r="B4" s="33"/>
      <c r="C4" s="361" t="s">
        <v>18</v>
      </c>
      <c r="D4" s="362"/>
      <c r="E4" s="363">
        <f>'1.PMO_BD'!B3</f>
        <v>0</v>
      </c>
      <c r="F4" s="364"/>
      <c r="G4" s="364"/>
      <c r="H4" s="365"/>
      <c r="I4" s="35"/>
      <c r="J4" s="366" t="s">
        <v>19</v>
      </c>
      <c r="K4" s="367"/>
      <c r="L4" s="370" t="e">
        <f>'1.PMO_BD'!#REF!</f>
        <v>#REF!</v>
      </c>
      <c r="M4" s="371"/>
      <c r="N4" s="34"/>
    </row>
    <row r="5" spans="2:14" ht="13.5" thickBot="1">
      <c r="B5" s="33"/>
      <c r="C5" s="374" t="s">
        <v>20</v>
      </c>
      <c r="D5" s="375"/>
      <c r="E5" s="376" t="e">
        <f>'1.PMO_BD'!#REF!</f>
        <v>#REF!</v>
      </c>
      <c r="F5" s="377"/>
      <c r="G5" s="377"/>
      <c r="H5" s="378"/>
      <c r="I5" s="35"/>
      <c r="J5" s="368"/>
      <c r="K5" s="369"/>
      <c r="L5" s="372"/>
      <c r="M5" s="373"/>
      <c r="N5" s="34"/>
    </row>
    <row r="6" spans="2:14">
      <c r="B6" s="45"/>
      <c r="C6" s="46"/>
      <c r="D6" s="46"/>
      <c r="E6" s="47"/>
      <c r="F6" s="47"/>
      <c r="G6" s="47"/>
      <c r="H6" s="47"/>
      <c r="I6" s="41"/>
      <c r="J6" s="48"/>
      <c r="K6" s="48"/>
      <c r="L6" s="49"/>
      <c r="M6" s="49"/>
      <c r="N6" s="50"/>
    </row>
    <row r="7" spans="2:14" ht="13.5" thickBot="1">
      <c r="B7" s="33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4"/>
    </row>
    <row r="8" spans="2:14" ht="13.5" thickBot="1">
      <c r="B8" s="33"/>
      <c r="C8" s="356" t="s">
        <v>85</v>
      </c>
      <c r="D8" s="357"/>
      <c r="E8" s="357"/>
      <c r="F8" s="357"/>
      <c r="G8" s="357"/>
      <c r="H8" s="357"/>
      <c r="I8" s="357"/>
      <c r="J8" s="357"/>
      <c r="K8" s="357"/>
      <c r="L8" s="357"/>
      <c r="M8" s="358"/>
      <c r="N8" s="34"/>
    </row>
    <row r="9" spans="2:14">
      <c r="B9" s="33"/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9"/>
      <c r="N9" s="34"/>
    </row>
    <row r="10" spans="2:14">
      <c r="B10" s="33"/>
      <c r="C10" s="350"/>
      <c r="D10" s="351"/>
      <c r="E10" s="351"/>
      <c r="F10" s="351"/>
      <c r="G10" s="351"/>
      <c r="H10" s="351"/>
      <c r="I10" s="351"/>
      <c r="J10" s="351"/>
      <c r="K10" s="351"/>
      <c r="L10" s="351"/>
      <c r="M10" s="352"/>
      <c r="N10" s="34"/>
    </row>
    <row r="11" spans="2:14">
      <c r="B11" s="33"/>
      <c r="C11" s="350"/>
      <c r="D11" s="351"/>
      <c r="E11" s="351"/>
      <c r="F11" s="351"/>
      <c r="G11" s="351"/>
      <c r="H11" s="351"/>
      <c r="I11" s="351"/>
      <c r="J11" s="351"/>
      <c r="K11" s="351"/>
      <c r="L11" s="351"/>
      <c r="M11" s="352"/>
      <c r="N11" s="34"/>
    </row>
    <row r="12" spans="2:14">
      <c r="B12" s="33"/>
      <c r="C12" s="350"/>
      <c r="D12" s="351"/>
      <c r="E12" s="351"/>
      <c r="F12" s="351"/>
      <c r="G12" s="351"/>
      <c r="H12" s="351"/>
      <c r="I12" s="351"/>
      <c r="J12" s="351"/>
      <c r="K12" s="351"/>
      <c r="L12" s="351"/>
      <c r="M12" s="352"/>
      <c r="N12" s="34"/>
    </row>
    <row r="13" spans="2:14">
      <c r="B13" s="33"/>
      <c r="C13" s="350"/>
      <c r="D13" s="351"/>
      <c r="E13" s="351"/>
      <c r="F13" s="351"/>
      <c r="G13" s="351"/>
      <c r="H13" s="351"/>
      <c r="I13" s="351"/>
      <c r="J13" s="351"/>
      <c r="K13" s="351"/>
      <c r="L13" s="351"/>
      <c r="M13" s="352"/>
      <c r="N13" s="34"/>
    </row>
    <row r="14" spans="2:14">
      <c r="B14" s="33"/>
      <c r="C14" s="350"/>
      <c r="D14" s="351"/>
      <c r="E14" s="351"/>
      <c r="F14" s="351"/>
      <c r="G14" s="351"/>
      <c r="H14" s="351"/>
      <c r="I14" s="351"/>
      <c r="J14" s="351"/>
      <c r="K14" s="351"/>
      <c r="L14" s="351"/>
      <c r="M14" s="352"/>
      <c r="N14" s="34"/>
    </row>
    <row r="15" spans="2:14" ht="13.5" thickBot="1">
      <c r="B15" s="33"/>
      <c r="C15" s="353"/>
      <c r="D15" s="354"/>
      <c r="E15" s="354"/>
      <c r="F15" s="354"/>
      <c r="G15" s="354"/>
      <c r="H15" s="354"/>
      <c r="I15" s="354"/>
      <c r="J15" s="354"/>
      <c r="K15" s="354"/>
      <c r="L15" s="354"/>
      <c r="M15" s="355"/>
      <c r="N15" s="34"/>
    </row>
    <row r="16" spans="2:14" ht="13.5" thickBot="1">
      <c r="B16" s="3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34"/>
    </row>
    <row r="17" spans="1:15" ht="13.5" thickBot="1">
      <c r="A17" s="27"/>
      <c r="B17" s="33"/>
      <c r="C17" s="356" t="s">
        <v>86</v>
      </c>
      <c r="D17" s="357"/>
      <c r="E17" s="357"/>
      <c r="F17" s="357"/>
      <c r="G17" s="357"/>
      <c r="H17" s="357"/>
      <c r="I17" s="357"/>
      <c r="J17" s="357"/>
      <c r="K17" s="357"/>
      <c r="L17" s="357"/>
      <c r="M17" s="358"/>
      <c r="N17" s="34"/>
      <c r="O17" s="27"/>
    </row>
    <row r="18" spans="1:15">
      <c r="A18" s="27"/>
      <c r="B18" s="33"/>
      <c r="C18" s="347"/>
      <c r="D18" s="348"/>
      <c r="E18" s="348"/>
      <c r="F18" s="348"/>
      <c r="G18" s="348"/>
      <c r="H18" s="348"/>
      <c r="I18" s="348"/>
      <c r="J18" s="348"/>
      <c r="K18" s="348"/>
      <c r="L18" s="348"/>
      <c r="M18" s="349"/>
      <c r="N18" s="34"/>
      <c r="O18" s="27"/>
    </row>
    <row r="19" spans="1:15">
      <c r="A19" s="27"/>
      <c r="B19" s="33"/>
      <c r="C19" s="350"/>
      <c r="D19" s="351"/>
      <c r="E19" s="351"/>
      <c r="F19" s="351"/>
      <c r="G19" s="351"/>
      <c r="H19" s="351"/>
      <c r="I19" s="351"/>
      <c r="J19" s="351"/>
      <c r="K19" s="351"/>
      <c r="L19" s="351"/>
      <c r="M19" s="352"/>
      <c r="N19" s="34"/>
      <c r="O19" s="27"/>
    </row>
    <row r="20" spans="1:15">
      <c r="A20" s="27"/>
      <c r="B20" s="33"/>
      <c r="C20" s="350"/>
      <c r="D20" s="351"/>
      <c r="E20" s="351"/>
      <c r="F20" s="351"/>
      <c r="G20" s="351"/>
      <c r="H20" s="351"/>
      <c r="I20" s="351"/>
      <c r="J20" s="351"/>
      <c r="K20" s="351"/>
      <c r="L20" s="351"/>
      <c r="M20" s="352"/>
      <c r="N20" s="34"/>
      <c r="O20" s="27"/>
    </row>
    <row r="21" spans="1:15">
      <c r="A21" s="27"/>
      <c r="B21" s="33"/>
      <c r="C21" s="350"/>
      <c r="D21" s="351"/>
      <c r="E21" s="351"/>
      <c r="F21" s="351"/>
      <c r="G21" s="351"/>
      <c r="H21" s="351"/>
      <c r="I21" s="351"/>
      <c r="J21" s="351"/>
      <c r="K21" s="351"/>
      <c r="L21" s="351"/>
      <c r="M21" s="352"/>
      <c r="N21" s="34"/>
      <c r="O21" s="27"/>
    </row>
    <row r="22" spans="1:15">
      <c r="A22" s="27"/>
      <c r="B22" s="33"/>
      <c r="C22" s="350"/>
      <c r="D22" s="351"/>
      <c r="E22" s="351"/>
      <c r="F22" s="351"/>
      <c r="G22" s="351"/>
      <c r="H22" s="351"/>
      <c r="I22" s="351"/>
      <c r="J22" s="351"/>
      <c r="K22" s="351"/>
      <c r="L22" s="351"/>
      <c r="M22" s="352"/>
      <c r="N22" s="34"/>
      <c r="O22" s="27"/>
    </row>
    <row r="23" spans="1:15" ht="13.5" thickBot="1">
      <c r="A23" s="27"/>
      <c r="B23" s="33"/>
      <c r="C23" s="353"/>
      <c r="D23" s="354"/>
      <c r="E23" s="354"/>
      <c r="F23" s="354"/>
      <c r="G23" s="354"/>
      <c r="H23" s="354"/>
      <c r="I23" s="354"/>
      <c r="J23" s="354"/>
      <c r="K23" s="354"/>
      <c r="L23" s="354"/>
      <c r="M23" s="355"/>
      <c r="N23" s="34"/>
      <c r="O23" s="27"/>
    </row>
    <row r="24" spans="1:15">
      <c r="A24" s="27"/>
      <c r="B24" s="33"/>
      <c r="C24" s="44" t="s">
        <v>87</v>
      </c>
      <c r="D24" s="42"/>
      <c r="E24" s="42"/>
      <c r="F24" s="43"/>
      <c r="G24" s="43"/>
      <c r="H24" s="43"/>
      <c r="I24" s="27"/>
      <c r="J24" s="27"/>
      <c r="K24" s="27"/>
      <c r="L24" s="27"/>
      <c r="M24" s="27"/>
      <c r="N24" s="34"/>
      <c r="O24" s="27"/>
    </row>
    <row r="25" spans="1:15">
      <c r="A25" s="27"/>
      <c r="B25" s="33"/>
      <c r="C25" s="41"/>
      <c r="D25" s="42"/>
      <c r="E25" s="42"/>
      <c r="F25" s="43"/>
      <c r="G25" s="43"/>
      <c r="H25" s="43"/>
      <c r="I25" s="27"/>
      <c r="J25" s="27"/>
      <c r="K25" s="27"/>
      <c r="L25" s="27"/>
      <c r="M25" s="27"/>
      <c r="N25" s="34"/>
      <c r="O25" s="27"/>
    </row>
    <row r="26" spans="1:15">
      <c r="A26" s="29"/>
      <c r="B26" s="33"/>
      <c r="C26" s="41"/>
      <c r="D26" s="42"/>
      <c r="E26" s="42"/>
      <c r="F26" s="43"/>
      <c r="G26" s="43"/>
      <c r="H26" s="43"/>
      <c r="I26" s="27"/>
      <c r="J26" s="27"/>
      <c r="K26" s="27"/>
      <c r="L26" s="27"/>
      <c r="M26" s="27"/>
      <c r="N26" s="34"/>
      <c r="O26" s="29"/>
    </row>
    <row r="27" spans="1:15">
      <c r="A27" s="29"/>
      <c r="B27" s="33"/>
      <c r="C27" s="41"/>
      <c r="D27" s="42"/>
      <c r="E27" s="42"/>
      <c r="F27" s="43"/>
      <c r="G27" s="43"/>
      <c r="H27" s="43"/>
      <c r="I27" s="29"/>
      <c r="J27" s="27"/>
      <c r="K27" s="27"/>
      <c r="L27" s="27"/>
      <c r="M27" s="27"/>
      <c r="N27" s="34"/>
      <c r="O27" s="29"/>
    </row>
    <row r="28" spans="1:15">
      <c r="A28" s="27"/>
      <c r="B28" s="33"/>
      <c r="C28" s="41"/>
      <c r="D28" s="42"/>
      <c r="E28" s="42"/>
      <c r="F28" s="43"/>
      <c r="G28" s="43"/>
      <c r="H28" s="43"/>
      <c r="I28" s="27"/>
      <c r="J28" s="27"/>
      <c r="K28" s="27"/>
      <c r="L28" s="27"/>
      <c r="M28" s="27"/>
      <c r="N28" s="34"/>
      <c r="O28" s="27"/>
    </row>
    <row r="29" spans="1:15">
      <c r="A29" s="27"/>
      <c r="B29" s="33"/>
      <c r="C29" s="41"/>
      <c r="D29" s="42"/>
      <c r="E29" s="42"/>
      <c r="F29" s="43"/>
      <c r="G29" s="43"/>
      <c r="H29" s="43"/>
      <c r="I29" s="27"/>
      <c r="J29" s="27"/>
      <c r="K29" s="27"/>
      <c r="L29" s="27"/>
      <c r="M29" s="27"/>
      <c r="N29" s="34"/>
      <c r="O29" s="27"/>
    </row>
    <row r="30" spans="1:15">
      <c r="A30" s="27"/>
      <c r="B30" s="33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34"/>
      <c r="O30" s="27"/>
    </row>
    <row r="31" spans="1:15">
      <c r="A31" s="27"/>
      <c r="B31" s="33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34"/>
      <c r="O31" s="27"/>
    </row>
    <row r="32" spans="1:15">
      <c r="A32" s="27"/>
      <c r="B32" s="33"/>
      <c r="C32" s="40">
        <f>'2.GL-INIT'!B6</f>
        <v>0</v>
      </c>
      <c r="D32" s="29"/>
      <c r="E32" s="29"/>
      <c r="F32" s="39"/>
      <c r="G32" s="39"/>
      <c r="H32" s="29"/>
      <c r="I32" s="29"/>
      <c r="J32" s="27"/>
      <c r="K32" s="27"/>
      <c r="L32" s="29"/>
      <c r="M32" s="29" t="s">
        <v>32</v>
      </c>
      <c r="N32" s="34"/>
      <c r="O32" s="27"/>
    </row>
    <row r="33" spans="2:14">
      <c r="B33" s="33"/>
      <c r="C33" s="28" t="s">
        <v>3</v>
      </c>
      <c r="D33" s="29"/>
      <c r="E33" s="39" t="s">
        <v>88</v>
      </c>
      <c r="F33" s="27"/>
      <c r="G33" s="27"/>
      <c r="H33" s="27"/>
      <c r="I33" s="29" t="s">
        <v>71</v>
      </c>
      <c r="J33" s="27"/>
      <c r="K33" s="27"/>
      <c r="L33" s="29"/>
      <c r="M33" s="29" t="s">
        <v>33</v>
      </c>
      <c r="N33" s="34"/>
    </row>
    <row r="34" spans="2:14" ht="13.5" thickBot="1"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8"/>
    </row>
  </sheetData>
  <mergeCells count="11">
    <mergeCell ref="C18:M23"/>
    <mergeCell ref="C9:M15"/>
    <mergeCell ref="C17:M17"/>
    <mergeCell ref="C8:M8"/>
    <mergeCell ref="C2:M2"/>
    <mergeCell ref="C4:D4"/>
    <mergeCell ref="E4:H4"/>
    <mergeCell ref="J4:K5"/>
    <mergeCell ref="L4:M5"/>
    <mergeCell ref="C5:D5"/>
    <mergeCell ref="E5:H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1.PMO_BD</vt:lpstr>
      <vt:lpstr>2.GL-INIT</vt:lpstr>
      <vt:lpstr>3.PIF</vt:lpstr>
      <vt:lpstr>4.Project Summary Template</vt:lpstr>
      <vt:lpstr>5.MSP Tracker</vt:lpstr>
      <vt:lpstr>6.IPD</vt:lpstr>
      <vt:lpstr>7.Go-No-Go</vt:lpstr>
      <vt:lpstr>'3.PIF'!Print_Area</vt:lpstr>
    </vt:vector>
  </TitlesOfParts>
  <Company>Ernst &amp; Young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Ambadkar</dc:creator>
  <cp:lastModifiedBy>Patil, Rahul A.</cp:lastModifiedBy>
  <cp:lastPrinted>2022-03-15T10:17:17Z</cp:lastPrinted>
  <dcterms:created xsi:type="dcterms:W3CDTF">2013-01-23T05:30:48Z</dcterms:created>
  <dcterms:modified xsi:type="dcterms:W3CDTF">2022-07-06T11:27:19Z</dcterms:modified>
</cp:coreProperties>
</file>